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astal Meridian Detail" sheetId="2" state="visible" r:id="rId2"/>
    <sheet xmlns:r="http://schemas.openxmlformats.org/officeDocument/2006/relationships" name="Ravenna Detail" sheetId="3" state="visible" r:id="rId3"/>
    <sheet xmlns:r="http://schemas.openxmlformats.org/officeDocument/2006/relationships" name="Narrativ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Budget</t>
        </is>
      </c>
      <c r="C1" t="inlineStr">
        <is>
          <t>Actual Fees</t>
        </is>
      </c>
      <c r="D1" t="inlineStr">
        <is>
          <t>Overage $</t>
        </is>
      </c>
      <c r="E1" t="inlineStr">
        <is>
          <t>Overage %</t>
        </is>
      </c>
      <c r="F1" t="inlineStr">
        <is>
          <t>Primary Driver</t>
        </is>
      </c>
    </row>
    <row r="2">
      <c r="A2" t="inlineStr">
        <is>
          <t>Coastal Meridian - Covenant Timing / Waterfall</t>
        </is>
      </c>
      <c r="B2" t="n">
        <v>85000</v>
      </c>
      <c r="C2" t="n">
        <v>118750</v>
      </c>
      <c r="D2">
        <f>C2-B2</f>
        <v/>
      </c>
      <c r="E2">
        <f>D2/B2</f>
        <v/>
      </c>
      <c r="F2" t="inlineStr">
        <is>
          <t>Additional covenant-timing and waterfall reconciliation work (base + downside cases) not in original scope</t>
        </is>
      </c>
    </row>
    <row r="3">
      <c r="A3" t="inlineStr">
        <is>
          <t>Ravenna - Estoppel Count / Diligence</t>
        </is>
      </c>
      <c r="B3" t="n">
        <v>42000</v>
      </c>
      <c r="C3" t="n">
        <v>61300</v>
      </c>
      <c r="D3">
        <f>C3-B3</f>
        <v/>
      </c>
      <c r="E3">
        <f>D3/B3</f>
        <v/>
      </c>
      <c r="F3" t="inlineStr">
        <is>
          <t>Estoppel count expanded scope pending Quentin's review</t>
        </is>
      </c>
    </row>
    <row r="4">
      <c r="A4" t="inlineStr">
        <is>
          <t>Farraday - No Changes Review</t>
        </is>
      </c>
      <c r="B4" t="n">
        <v>15000</v>
      </c>
      <c r="C4" t="n">
        <v>14200</v>
      </c>
      <c r="D4">
        <f>C4-B4</f>
        <v/>
      </c>
      <c r="E4">
        <f>D4/B4</f>
        <v/>
      </c>
      <c r="F4" t="inlineStr">
        <is>
          <t>Closed as no changes; under budget, released</t>
        </is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D5/B5</f>
        <v/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Budgeted Hours</t>
        </is>
      </c>
      <c r="D1" t="inlineStr">
        <is>
          <t>Actual Hours</t>
        </is>
      </c>
      <c r="E1" t="inlineStr">
        <is>
          <t>Rate</t>
        </is>
      </c>
      <c r="F1" t="inlineStr">
        <is>
          <t>Budgeted Fees</t>
        </is>
      </c>
      <c r="G1" t="inlineStr">
        <is>
          <t>Actual Fees</t>
        </is>
      </c>
      <c r="H1" t="inlineStr">
        <is>
          <t>Variance $</t>
        </is>
      </c>
    </row>
    <row r="2">
      <c r="A2" t="inlineStr">
        <is>
          <t>Dov</t>
        </is>
      </c>
      <c r="B2" t="inlineStr">
        <is>
          <t>Senior Associate</t>
        </is>
      </c>
      <c r="C2" t="n">
        <v>90</v>
      </c>
      <c r="D2" t="n">
        <v>132</v>
      </c>
      <c r="E2" t="n">
        <v>650</v>
      </c>
      <c r="F2">
        <f>C2*E2</f>
        <v/>
      </c>
      <c r="G2">
        <f>D2*E2</f>
        <v/>
      </c>
      <c r="H2">
        <f>G2-F2</f>
        <v/>
      </c>
    </row>
    <row r="3">
      <c r="A3" t="inlineStr">
        <is>
          <t>Saoirse</t>
        </is>
      </c>
      <c r="B3" t="inlineStr">
        <is>
          <t>Associate</t>
        </is>
      </c>
      <c r="C3" t="n">
        <v>60</v>
      </c>
      <c r="D3" t="n">
        <v>84</v>
      </c>
      <c r="E3" t="n">
        <v>495</v>
      </c>
      <c r="F3">
        <f>C3*E3</f>
        <v/>
      </c>
      <c r="G3">
        <f>D3*E3</f>
        <v/>
      </c>
      <c r="H3">
        <f>G3-F3</f>
        <v/>
      </c>
    </row>
    <row r="4">
      <c r="A4" t="inlineStr">
        <is>
          <t>Quentin</t>
        </is>
      </c>
      <c r="B4" t="inlineStr">
        <is>
          <t>Counsel</t>
        </is>
      </c>
      <c r="C4" t="n">
        <v>20</v>
      </c>
      <c r="D4" t="n">
        <v>27</v>
      </c>
      <c r="E4" t="n">
        <v>725</v>
      </c>
      <c r="F4">
        <f>C4*E4</f>
        <v/>
      </c>
      <c r="G4">
        <f>D4*E4</f>
        <v/>
      </c>
      <c r="H4">
        <f>G4-F4</f>
        <v/>
      </c>
    </row>
    <row r="5">
      <c r="A5" t="inlineStr">
        <is>
          <t>Adaora</t>
        </is>
      </c>
      <c r="B5" t="inlineStr">
        <is>
          <t>Partner (oversight)</t>
        </is>
      </c>
      <c r="C5" t="n">
        <v>5</v>
      </c>
      <c r="D5" t="n">
        <v>9</v>
      </c>
      <c r="E5" t="n">
        <v>950</v>
      </c>
      <c r="F5">
        <f>C5*E5</f>
        <v/>
      </c>
      <c r="G5">
        <f>D5*E5</f>
        <v/>
      </c>
      <c r="H5">
        <f>G5-F5</f>
        <v/>
      </c>
    </row>
    <row r="6">
      <c r="A6" t="inlineStr">
        <is>
          <t>Total</t>
        </is>
      </c>
      <c r="B6" t="inlineStr"/>
      <c r="C6">
        <f>SUM(C2:C5)</f>
        <v/>
      </c>
      <c r="D6">
        <f>SUM(D2:D5)</f>
        <v/>
      </c>
      <c r="E6" t="inlineStr"/>
      <c r="F6">
        <f>SUM(F2:F5)</f>
        <v/>
      </c>
      <c r="G6">
        <f>SUM(G2:G5)</f>
        <v/>
      </c>
      <c r="H6">
        <f>SUM(H2:H5)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Budgeted Hours</t>
        </is>
      </c>
      <c r="D1" t="inlineStr">
        <is>
          <t>Actual Hours</t>
        </is>
      </c>
      <c r="E1" t="inlineStr">
        <is>
          <t>Rate</t>
        </is>
      </c>
      <c r="F1" t="inlineStr">
        <is>
          <t>Budgeted Fees</t>
        </is>
      </c>
      <c r="G1" t="inlineStr">
        <is>
          <t>Actual Fees</t>
        </is>
      </c>
      <c r="H1" t="inlineStr">
        <is>
          <t>Variance $</t>
        </is>
      </c>
    </row>
    <row r="2">
      <c r="A2" t="inlineStr">
        <is>
          <t>Quentin</t>
        </is>
      </c>
      <c r="B2" t="inlineStr">
        <is>
          <t>Counsel</t>
        </is>
      </c>
      <c r="C2" t="n">
        <v>40</v>
      </c>
      <c r="D2" t="n">
        <v>62</v>
      </c>
      <c r="E2" t="n">
        <v>725</v>
      </c>
      <c r="F2">
        <f>C2*E2</f>
        <v/>
      </c>
      <c r="G2">
        <f>D2*E2</f>
        <v/>
      </c>
      <c r="H2">
        <f>G2-F2</f>
        <v/>
      </c>
    </row>
    <row r="3">
      <c r="A3" t="inlineStr">
        <is>
          <t>Saoirse</t>
        </is>
      </c>
      <c r="B3" t="inlineStr">
        <is>
          <t>Associate</t>
        </is>
      </c>
      <c r="C3" t="n">
        <v>20</v>
      </c>
      <c r="D3" t="n">
        <v>25</v>
      </c>
      <c r="E3" t="n">
        <v>495</v>
      </c>
      <c r="F3">
        <f>C3*E3</f>
        <v/>
      </c>
      <c r="G3">
        <f>D3*E3</f>
        <v/>
      </c>
      <c r="H3">
        <f>G3-F3</f>
        <v/>
      </c>
    </row>
    <row r="4">
      <c r="A4" t="inlineStr">
        <is>
          <t>Total</t>
        </is>
      </c>
      <c r="B4" t="inlineStr"/>
      <c r="C4">
        <f>SUM(C2:C3)</f>
        <v/>
      </c>
      <c r="D4">
        <f>SUM(D2:D3)</f>
        <v/>
      </c>
      <c r="E4" t="inlineStr"/>
      <c r="F4">
        <f>SUM(F2:F3)</f>
        <v/>
      </c>
      <c r="G4">
        <f>SUM(G2:G3)</f>
        <v/>
      </c>
      <c r="H4">
        <f>SUM(H2:H3)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Explanation</t>
        </is>
      </c>
    </row>
    <row r="2">
      <c r="A2" t="inlineStr">
        <is>
          <t>Coastal Meridian overage - root cause</t>
        </is>
      </c>
      <c r="B2" t="inlineStr">
        <is>
          <t>Original budget assumed a single covenant-timing read against the term sheet. Dov's analysis required threshold corrections to Section 4.2 (final markup) first, then a full waterfall reconciliation against both base and downside cases, which was not priced into the original scope. This added an estimated 40+ hours across Dov and Saoirse.</t>
        </is>
      </c>
    </row>
    <row r="3">
      <c r="A3" t="inlineStr">
        <is>
          <t>Coastal Meridian overage - timing</t>
        </is>
      </c>
      <c r="B3" t="inlineStr">
        <is>
          <t>Base-case model inputs were sent to Dov and Saoirse to run the reconciliation; downside stress test follows once base case is confirmed. Amendment history and fully executed agreement are being delivered together Thursday EOD, contingent on Quentin's estoppel count landing without slippage.</t>
        </is>
      </c>
    </row>
    <row r="4">
      <c r="A4" t="inlineStr">
        <is>
          <t>Ravenna overage - root cause</t>
        </is>
      </c>
      <c r="B4" t="inlineStr">
        <is>
          <t>Estoppel count under Quentin expanded beyond original diligence scope; this is the pacing item for the Coastal Meridian covenant-timing read and is being tracked for same-day notice if it slips.</t>
        </is>
      </c>
    </row>
    <row r="5">
      <c r="A5" t="inlineStr">
        <is>
          <t>Farraday - closed</t>
        </is>
      </c>
      <c r="B5" t="inlineStr">
        <is>
          <t>Released as no changes; matter closed under budget, no overage to explain.</t>
        </is>
      </c>
    </row>
    <row r="6">
      <c r="A6" t="inlineStr">
        <is>
          <t>Write-off authority note</t>
        </is>
      </c>
      <c r="B6" t="inlineStr">
        <is>
          <t>No write-off is being requested here. If any portion of the Coastal Meridian or Ravenna overage is ultimately written off above $25,000, that will come to Adaora in writing with the reason included in the same message, per firm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