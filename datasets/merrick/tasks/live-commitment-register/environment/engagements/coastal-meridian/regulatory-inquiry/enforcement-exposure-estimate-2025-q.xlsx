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ur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Low Estimate ($)</t>
        </is>
      </c>
      <c r="C1" t="inlineStr">
        <is>
          <t>Mid Estimate ($)</t>
        </is>
      </c>
      <c r="D1" t="inlineStr">
        <is>
          <t>High Estimate ($)</t>
        </is>
      </c>
      <c r="E1" t="inlineStr">
        <is>
          <t>Basis / Notes</t>
        </is>
      </c>
    </row>
    <row r="2">
      <c r="A2" t="inlineStr">
        <is>
          <t>Civil monetary penalty</t>
        </is>
      </c>
      <c r="B2" t="n">
        <v>750000</v>
      </c>
      <c r="C2" t="n">
        <v>1500000</v>
      </c>
      <c r="D2" t="n">
        <v>3000000</v>
      </c>
      <c r="E2" t="inlineStr">
        <is>
          <t>Based on comparable agency settlements in sector for similar disclosure lapses</t>
        </is>
      </c>
    </row>
    <row r="3">
      <c r="A3" t="inlineStr">
        <is>
          <t>Disgorgement of fees/gains</t>
        </is>
      </c>
      <c r="B3" t="n">
        <v>250000</v>
      </c>
      <c r="C3" t="n">
        <v>600000</v>
      </c>
      <c r="D3" t="n">
        <v>1200000</v>
      </c>
      <c r="E3" t="inlineStr">
        <is>
          <t>Estimated on affected revenue period under inquiry scope</t>
        </is>
      </c>
    </row>
    <row r="4">
      <c r="A4" t="inlineStr">
        <is>
          <t>Remediation / compliance monitor costs</t>
        </is>
      </c>
      <c r="B4" t="n">
        <v>200000</v>
      </c>
      <c r="C4" t="n">
        <v>400000</v>
      </c>
      <c r="D4" t="n">
        <v>800000</v>
      </c>
      <c r="E4" t="inlineStr">
        <is>
          <t>Assumes 12-18 month monitorship if required as settlement term</t>
        </is>
      </c>
    </row>
    <row r="5">
      <c r="A5" t="inlineStr">
        <is>
          <t>Legal fees to resolution</t>
        </is>
      </c>
      <c r="B5" t="n">
        <v>300000</v>
      </c>
      <c r="C5" t="n">
        <v>500000</v>
      </c>
      <c r="D5" t="n">
        <v>900000</v>
      </c>
      <c r="E5" t="inlineStr">
        <is>
          <t>Estimate through anticipated settlement or hearing</t>
        </is>
      </c>
    </row>
    <row r="6">
      <c r="A6" t="inlineStr">
        <is>
          <t>Reputational / contract renegotiation risk</t>
        </is>
      </c>
      <c r="B6" t="n">
        <v>0</v>
      </c>
      <c r="C6" t="n">
        <v>500000</v>
      </c>
      <c r="D6" t="n">
        <v>2000000</v>
      </c>
      <c r="E6" t="inlineStr">
        <is>
          <t>Not quantifiable with precision; included as range only</t>
        </is>
      </c>
    </row>
    <row r="7">
      <c r="A7" t="inlineStr">
        <is>
          <t>Total Estimated Exposure</t>
        </is>
      </c>
      <c r="B7">
        <f>SUM(B2:B6)</f>
        <v/>
      </c>
      <c r="C7">
        <f>SUM(C2:C6)</f>
        <v/>
      </c>
      <c r="D7">
        <f>SUM(D2:D6)</f>
        <v/>
      </c>
      <c r="E7" t="inlineStr">
        <is>
          <t>Sum of rows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Detail</t>
        </is>
      </c>
    </row>
    <row r="2">
      <c r="A2" t="inlineStr">
        <is>
          <t>Inquiry scope</t>
        </is>
      </c>
      <c r="B2" t="inlineStr">
        <is>
          <t>Limited to the disclosure practices identified in the agency's initial document request; assumes no expansion to related product lines</t>
        </is>
      </c>
    </row>
    <row r="3">
      <c r="A3" t="inlineStr">
        <is>
          <t>Precedent set</t>
        </is>
      </c>
      <c r="B3" t="inlineStr">
        <is>
          <t>Drawn from three comparable enforcement actions in the past 24 months against similarly sized issuers</t>
        </is>
      </c>
    </row>
    <row r="4">
      <c r="A4" t="inlineStr">
        <is>
          <t>Settlement posture</t>
        </is>
      </c>
      <c r="B4" t="inlineStr">
        <is>
          <t>Assumes company elects to negotiate settlement rather than litigate; litigated outcome could increase high estimate by 40-60%</t>
        </is>
      </c>
    </row>
    <row r="5">
      <c r="A5" t="inlineStr">
        <is>
          <t>Timing</t>
        </is>
      </c>
      <c r="B5" t="inlineStr">
        <is>
          <t>Assumes resolution within 12-18 months of formal notice</t>
        </is>
      </c>
    </row>
    <row r="6">
      <c r="A6" t="inlineStr">
        <is>
          <t>Excluded</t>
        </is>
      </c>
      <c r="B6" t="inlineStr">
        <is>
          <t>Does not include potential private civil suits that could follow from an adverse enforcement finding</t>
        </is>
      </c>
    </row>
    <row r="7">
      <c r="A7" t="inlineStr">
        <is>
          <t>Cross-check</t>
        </is>
      </c>
      <c r="B7" t="inlineStr">
        <is>
          <t>Scope confirmed consistent with the parallel Ravenna/Kowalski workstream as of team check-in; no expansion identified to date</t>
        </is>
      </c>
    </row>
    <row r="8">
      <c r="A8" t="inlineStr">
        <is>
          <t>Data currency</t>
        </is>
      </c>
      <c r="B8" t="inlineStr">
        <is>
          <t>Figures reflect the exposure model as reviewed in the most recent Coastal Meridian walkthrough; to be re-tested if the agency broadens its document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Total Exposure ($)</t>
        </is>
      </c>
      <c r="C1" t="inlineStr">
        <is>
          <t>Probability (Firm View)</t>
        </is>
      </c>
    </row>
    <row r="2">
      <c r="A2" t="inlineStr">
        <is>
          <t>Best case — inquiry closes with no action</t>
        </is>
      </c>
      <c r="B2" t="n">
        <v>500000</v>
      </c>
      <c r="C2" t="inlineStr">
        <is>
          <t>15%</t>
        </is>
      </c>
    </row>
    <row r="3">
      <c r="A3" t="inlineStr">
        <is>
          <t>Base case — negotiated settlement, mid estimate</t>
        </is>
      </c>
      <c r="B3">
        <f>SUM('Exposure Summary'!C2:C6)</f>
        <v/>
      </c>
      <c r="C3" t="inlineStr">
        <is>
          <t>55%</t>
        </is>
      </c>
    </row>
    <row r="4">
      <c r="A4" t="inlineStr">
        <is>
          <t>Worst case — litigated, high estimate + 50%</t>
        </is>
      </c>
      <c r="B4">
        <f>SUM('Exposure Summary'!D2:D6)*1.5</f>
        <v/>
      </c>
      <c r="C4" t="inlineStr">
        <is>
          <t>25%</t>
        </is>
      </c>
    </row>
    <row r="5">
      <c r="A5" t="inlineStr">
        <is>
          <t>Tail case — scope expansion to related product lines</t>
        </is>
      </c>
      <c r="B5">
        <f>SUM('Exposure Summary'!D2:D6)*2</f>
        <v/>
      </c>
      <c r="C5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