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 Case Inputs" sheetId="1" state="visible" r:id="rId1"/>
    <sheet xmlns:r="http://schemas.openxmlformats.org/officeDocument/2006/relationships" name="Waterfall Reconciliation Check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</t>
        </is>
      </c>
      <c r="B1" t="inlineStr">
        <is>
          <t>Value</t>
        </is>
      </c>
      <c r="C1" t="inlineStr">
        <is>
          <t>Source / Basis</t>
        </is>
      </c>
      <c r="D1" t="inlineStr">
        <is>
          <t>Notes</t>
        </is>
      </c>
    </row>
    <row r="2">
      <c r="A2" t="inlineStr">
        <is>
          <t>Term Sheet Reference</t>
        </is>
      </c>
      <c r="B2" t="inlineStr">
        <is>
          <t>Section 4.2, final markup</t>
        </is>
      </c>
      <c r="C2" t="inlineStr">
        <is>
          <t>Executed markup (not earlier draft)</t>
        </is>
      </c>
      <c r="D2" t="inlineStr">
        <is>
          <t>Confirmed reference version per Adaora</t>
        </is>
      </c>
    </row>
    <row r="3">
      <c r="A3" t="inlineStr">
        <is>
          <t>Covenant Trigger Date</t>
        </is>
      </c>
      <c r="B3" t="inlineStr">
        <is>
          <t>4/14</t>
        </is>
      </c>
      <c r="C3" t="inlineStr">
        <is>
          <t>Term sheet Section 4.2</t>
        </is>
      </c>
      <c r="D3" t="inlineStr">
        <is>
          <t>Subject to Dov's timing read; base case assumes trigger as drafted</t>
        </is>
      </c>
    </row>
    <row r="4">
      <c r="A4" t="inlineStr">
        <is>
          <t>Threshold — Leverage Ratio</t>
        </is>
      </c>
      <c r="B4" t="n">
        <v>3.5</v>
      </c>
      <c r="C4" t="inlineStr">
        <is>
          <t>Section 4.2(a)</t>
        </is>
      </c>
      <c r="D4" t="inlineStr">
        <is>
          <t>Fix thresholds first, per Adaora's direction, before waterfall reconciliation</t>
        </is>
      </c>
    </row>
    <row r="5">
      <c r="A5" t="inlineStr">
        <is>
          <t>Threshold — Fixed Charge Coverage</t>
        </is>
      </c>
      <c r="B5" t="n">
        <v>1.25</v>
      </c>
      <c r="C5" t="inlineStr">
        <is>
          <t>Section 4.2(b)</t>
        </is>
      </c>
      <c r="D5" t="inlineStr">
        <is>
          <t>Fix thresholds first, per Adaora's direction</t>
        </is>
      </c>
    </row>
    <row r="6">
      <c r="A6" t="inlineStr">
        <is>
          <t>Cure Period (days)</t>
        </is>
      </c>
      <c r="B6" t="n">
        <v>30</v>
      </c>
      <c r="C6" t="inlineStr">
        <is>
          <t>Section 4.2(c)</t>
        </is>
      </c>
      <c r="D6" t="inlineStr">
        <is>
          <t>Base case: cure available, not exercised early</t>
        </is>
      </c>
    </row>
    <row r="7">
      <c r="A7" t="inlineStr">
        <is>
          <t>Waterfall Tranche 1 — Senior Priority Recovery</t>
        </is>
      </c>
      <c r="B7" t="n">
        <v>1</v>
      </c>
      <c r="C7" t="inlineStr">
        <is>
          <t>Section 4.2 waterfall schedule</t>
        </is>
      </c>
      <c r="D7" t="inlineStr">
        <is>
          <t>Full recovery assumed base case</t>
        </is>
      </c>
    </row>
    <row r="8">
      <c r="A8" t="inlineStr">
        <is>
          <t>Waterfall Tranche 2 — Mezzanine Recovery</t>
        </is>
      </c>
      <c r="B8" t="n">
        <v>0.85</v>
      </c>
      <c r="C8" t="inlineStr">
        <is>
          <t>Section 4.2 waterfall schedule</t>
        </is>
      </c>
      <c r="D8" t="inlineStr">
        <is>
          <t>Base case recovery rate</t>
        </is>
      </c>
    </row>
    <row r="9">
      <c r="A9" t="inlineStr">
        <is>
          <t>Waterfall Tranche 3 — Subordinated Recovery</t>
        </is>
      </c>
      <c r="B9" t="n">
        <v>0.4</v>
      </c>
      <c r="C9" t="inlineStr">
        <is>
          <t>Section 4.2 waterfall schedule</t>
        </is>
      </c>
      <c r="D9" t="inlineStr">
        <is>
          <t>Base case recovery rate</t>
        </is>
      </c>
    </row>
    <row r="10">
      <c r="A10" t="inlineStr">
        <is>
          <t>Estoppel Count — Status</t>
        </is>
      </c>
      <c r="B10" t="inlineStr">
        <is>
          <t>Pending</t>
        </is>
      </c>
      <c r="C10" t="inlineStr">
        <is>
          <t>Quentin, expected same day</t>
        </is>
      </c>
      <c r="D10" t="inlineStr">
        <is>
          <t>Base case assumes count resolves without terminal-count issue</t>
        </is>
      </c>
    </row>
    <row r="11">
      <c r="A11" t="inlineStr">
        <is>
          <t>Enforcement Timing Assumption</t>
        </is>
      </c>
      <c r="B11" t="inlineStr">
        <is>
          <t>No acceleration prior to 4/14</t>
        </is>
      </c>
      <c r="C11" t="inlineStr">
        <is>
          <t>Base case scenario definition</t>
        </is>
      </c>
      <c r="D11" t="inlineStr">
        <is>
          <t>Downside case to assume acceleration risk — separate delivery</t>
        </is>
      </c>
    </row>
    <row r="12">
      <c r="A12" t="inlineStr">
        <is>
          <t>Default Interest Rate Applied</t>
        </is>
      </c>
      <c r="B12" t="inlineStr">
        <is>
          <t>Not triggered</t>
        </is>
      </c>
      <c r="C12" t="inlineStr">
        <is>
          <t>Section 4.2</t>
        </is>
      </c>
      <c r="D12" t="inlineStr">
        <is>
          <t>Base case: no default interest accrual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</t>
        </is>
      </c>
      <c r="B1" t="inlineStr">
        <is>
          <t>Base Case Amount</t>
        </is>
      </c>
      <c r="C1" t="inlineStr">
        <is>
          <t>Formula/Check</t>
        </is>
      </c>
      <c r="D1" t="inlineStr">
        <is>
          <t>Comment</t>
        </is>
      </c>
    </row>
    <row r="2">
      <c r="A2" t="inlineStr">
        <is>
          <t>Total Available Cash</t>
        </is>
      </c>
      <c r="B2" t="n">
        <v>12500000</v>
      </c>
      <c r="D2" t="inlineStr">
        <is>
          <t>Placeholder pending final cash sweep confirmation</t>
        </is>
      </c>
    </row>
    <row r="3">
      <c r="A3" t="inlineStr">
        <is>
          <t>Tranche 1 Payout</t>
        </is>
      </c>
      <c r="B3">
        <f>B2*1.0</f>
        <v/>
      </c>
      <c r="C3">
        <f>Tranche1 Recovery Rate</f>
        <v/>
      </c>
      <c r="D3" t="inlineStr">
        <is>
          <t>Ties to Base Case Inputs sheet</t>
        </is>
      </c>
    </row>
    <row r="4">
      <c r="A4" t="inlineStr">
        <is>
          <t>Tranche 2 Payout</t>
        </is>
      </c>
      <c r="B4">
        <f>B2*0.85</f>
        <v/>
      </c>
      <c r="C4">
        <f>Tranche2 Recovery Rate</f>
        <v/>
      </c>
      <c r="D4" t="inlineStr">
        <is>
          <t>Ties to Base Case Inputs sheet</t>
        </is>
      </c>
    </row>
    <row r="5">
      <c r="A5" t="inlineStr">
        <is>
          <t>Tranche 3 Payout</t>
        </is>
      </c>
      <c r="B5">
        <f>B2*0.4</f>
        <v/>
      </c>
      <c r="C5">
        <f>Tranche3 Recovery Rate</f>
        <v/>
      </c>
      <c r="D5" t="inlineStr">
        <is>
          <t>Ties to Base Case Inputs sheet</t>
        </is>
      </c>
    </row>
    <row r="6">
      <c r="A6" t="inlineStr">
        <is>
          <t>Total Reconciled</t>
        </is>
      </c>
      <c r="B6">
        <f>SUM(B2:B4)</f>
        <v/>
      </c>
      <c r="C6" t="inlineStr">
        <is>
          <t>Check against Total Available Cash</t>
        </is>
      </c>
      <c r="D6" t="inlineStr">
        <is>
          <t>Flag variance for downside case overlay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2026-08-22T22:02:09Z</dcterms:created>
  <dcterms:modified xmlns:dcterms="http://purl.org/dc/terms/" xmlns:xsi="http://www.w3.org/2001/XMLSchema-instance" xsi:type="dcterms:W3CDTF">2026-08-22T22:02:09Z</dcterms:modified>
</cp:coreProperties>
</file>