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Estimate Summary" sheetId="1" state="visible" r:id="rId1"/>
    <sheet xmlns:r="http://schemas.openxmlformats.org/officeDocument/2006/relationships" name="Whitfield Estoppel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Workstream</t>
        </is>
      </c>
      <c r="B1" t="inlineStr">
        <is>
          <t>Prior Estimate ($)</t>
        </is>
      </c>
      <c r="C1" t="inlineStr">
        <is>
          <t>Fees Incurred to Date ($)</t>
        </is>
      </c>
      <c r="D1" t="inlineStr">
        <is>
          <t>Revised Estimate to Complete ($)</t>
        </is>
      </c>
      <c r="E1" t="inlineStr">
        <is>
          <t>Revised Total Estimate ($)</t>
        </is>
      </c>
      <c r="F1" t="inlineStr">
        <is>
          <t>Variance vs Prior ($)</t>
        </is>
      </c>
      <c r="G1" t="inlineStr">
        <is>
          <t>Notes</t>
        </is>
      </c>
    </row>
    <row r="2">
      <c r="A2" t="inlineStr">
        <is>
          <t>Due Diligence</t>
        </is>
      </c>
      <c r="B2" t="n">
        <v>85000</v>
      </c>
      <c r="C2" t="n">
        <v>78500</v>
      </c>
      <c r="D2" t="n">
        <v>6000</v>
      </c>
      <c r="E2" t="n">
        <v>84500</v>
      </c>
      <c r="F2">
        <f>E2-B2</f>
        <v/>
      </c>
      <c r="G2" t="inlineStr">
        <is>
          <t>Substantially complete; residual for outstanding follow-ups</t>
        </is>
      </c>
    </row>
    <row r="3">
      <c r="A3" t="inlineStr">
        <is>
          <t>Corporate / Structuring</t>
        </is>
      </c>
      <c r="B3" t="n">
        <v>45000</v>
      </c>
      <c r="C3" t="n">
        <v>41000</v>
      </c>
      <c r="D3" t="n">
        <v>5000</v>
      </c>
      <c r="E3" t="n">
        <v>46000</v>
      </c>
      <c r="F3">
        <f>E3-B3</f>
        <v/>
      </c>
      <c r="G3" t="inlineStr">
        <is>
          <t>Closing checklist finalized; minor drafting remains</t>
        </is>
      </c>
    </row>
    <row r="4">
      <c r="A4" t="inlineStr">
        <is>
          <t>Real Estate / Estoppels</t>
        </is>
      </c>
      <c r="B4" t="n">
        <v>30000</v>
      </c>
      <c r="C4" t="n">
        <v>27500</v>
      </c>
      <c r="D4" t="n">
        <v>9500</v>
      </c>
      <c r="E4" t="n">
        <v>37000</v>
      </c>
      <c r="F4">
        <f>E4-B4</f>
        <v/>
      </c>
      <c r="G4" t="inlineStr">
        <is>
          <t>Whitfield estoppel escalated past Dov per read-aloud-to-CC policy; additional partner time reserved</t>
        </is>
      </c>
    </row>
    <row r="5">
      <c r="A5" t="inlineStr">
        <is>
          <t>Financing / Lender Coordination</t>
        </is>
      </c>
      <c r="B5" t="n">
        <v>20000</v>
      </c>
      <c r="C5" t="n">
        <v>18000</v>
      </c>
      <c r="D5" t="n">
        <v>2000</v>
      </c>
      <c r="E5" t="n">
        <v>20000</v>
      </c>
      <c r="F5">
        <f>E5-B5</f>
        <v/>
      </c>
      <c r="G5" t="inlineStr">
        <is>
          <t>On track, no change</t>
        </is>
      </c>
    </row>
    <row r="6">
      <c r="A6" t="inlineStr">
        <is>
          <t>Regulatory / Good Standing</t>
        </is>
      </c>
      <c r="B6" t="n">
        <v>8000</v>
      </c>
      <c r="C6" t="n">
        <v>8000</v>
      </c>
      <c r="D6" t="n">
        <v>0</v>
      </c>
      <c r="E6" t="n">
        <v>8000</v>
      </c>
      <c r="F6">
        <f>E6-B6</f>
        <v/>
      </c>
      <c r="G6" t="inlineStr">
        <is>
          <t>Good standing confirmed closed 12/12; no further action</t>
        </is>
      </c>
    </row>
    <row r="7">
      <c r="A7" t="inlineStr">
        <is>
          <t>Closing / Post-Closing</t>
        </is>
      </c>
      <c r="B7" t="n">
        <v>25000</v>
      </c>
      <c r="C7" t="n">
        <v>6000</v>
      </c>
      <c r="D7" t="n">
        <v>19000</v>
      </c>
      <c r="E7" t="n">
        <v>25000</v>
      </c>
      <c r="F7">
        <f>E7-B7</f>
        <v/>
      </c>
      <c r="G7" t="inlineStr">
        <is>
          <t>Closing set preparation in progress</t>
        </is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Owner</t>
        </is>
      </c>
      <c r="D1" t="inlineStr">
        <is>
          <t>Escalation Level</t>
        </is>
      </c>
      <c r="E1" t="inlineStr">
        <is>
          <t>Fee Impact ($)</t>
        </is>
      </c>
      <c r="F1" t="inlineStr">
        <is>
          <t>Notes</t>
        </is>
      </c>
    </row>
    <row r="2">
      <c r="A2" t="inlineStr">
        <is>
          <t>Estoppel deadline letter</t>
        </is>
      </c>
      <c r="B2" t="inlineStr">
        <is>
          <t>Escalated — underway (not contingency)</t>
        </is>
      </c>
      <c r="C2" t="inlineStr">
        <is>
          <t>Quentin (lead), Samir/Lucien cc</t>
        </is>
      </c>
      <c r="D2" t="inlineStr">
        <is>
          <t>Past Dov — read-aloud-to-CC policy</t>
        </is>
      </c>
      <c r="E2" t="n">
        <v>4500</v>
      </c>
      <c r="F2" t="inlineStr">
        <is>
          <t>No further action required from Samir/Lucien beyond status tracking</t>
        </is>
      </c>
    </row>
    <row r="3">
      <c r="A3" t="inlineStr">
        <is>
          <t>Counsel call re: Whitfield status</t>
        </is>
      </c>
      <c r="B3" t="inlineStr">
        <is>
          <t>Follow-up tied to call outcome</t>
        </is>
      </c>
      <c r="C3" t="inlineStr">
        <is>
          <t>Dov</t>
        </is>
      </c>
      <c r="D3" t="inlineStr">
        <is>
          <t>Active</t>
        </is>
      </c>
      <c r="E3" t="n">
        <v>3000</v>
      </c>
      <c r="F3" t="inlineStr">
        <is>
          <t>Written estoppel follow-up contingent on call result</t>
        </is>
      </c>
    </row>
    <row r="4">
      <c r="A4" t="inlineStr">
        <is>
          <t>Good standing certificate</t>
        </is>
      </c>
      <c r="B4" t="inlineStr">
        <is>
          <t>Closed</t>
        </is>
      </c>
      <c r="C4" t="inlineStr">
        <is>
          <t>N/A</t>
        </is>
      </c>
      <c r="D4" t="inlineStr">
        <is>
          <t>N/A</t>
        </is>
      </c>
      <c r="E4" t="n">
        <v>0</v>
      </c>
      <c r="F4" t="inlineStr">
        <is>
          <t>Confirmed closed 12/12</t>
        </is>
      </c>
    </row>
    <row r="5">
      <c r="A5" t="inlineStr">
        <is>
          <t>MIP Item #10</t>
        </is>
      </c>
      <c r="B5" t="inlineStr">
        <is>
          <t>Closed</t>
        </is>
      </c>
      <c r="C5" t="inlineStr">
        <is>
          <t>N/A</t>
        </is>
      </c>
      <c r="D5" t="inlineStr">
        <is>
          <t>N/A</t>
        </is>
      </c>
      <c r="E5" t="n">
        <v>0</v>
      </c>
      <c r="F5" t="inlineStr">
        <is>
          <t>Confirmed closed per closing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