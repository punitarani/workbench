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-Damages" sheetId="2" state="visible" r:id="rId2"/>
    <sheet xmlns:r="http://schemas.openxmlformats.org/officeDocument/2006/relationships" name="Detail-Fees-Costs" sheetId="3" state="visible" r:id="rId3"/>
    <sheet xmlns:r="http://schemas.openxmlformats.org/officeDocument/2006/relationships" name="Open-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Low</t>
        </is>
      </c>
      <c r="C1" t="inlineStr">
        <is>
          <t>Mid</t>
        </is>
      </c>
      <c r="D1" t="inlineStr">
        <is>
          <t>High</t>
        </is>
      </c>
      <c r="E1" t="inlineStr">
        <is>
          <t>Basis / Notes</t>
        </is>
      </c>
    </row>
    <row r="2">
      <c r="A2" t="inlineStr">
        <is>
          <t>Litigation defense costs (through trial)</t>
        </is>
      </c>
      <c r="B2" t="n">
        <v>850000</v>
      </c>
      <c r="C2" t="n">
        <v>1450000</v>
      </c>
      <c r="D2" t="n">
        <v>2200000</v>
      </c>
      <c r="E2" t="inlineStr">
        <is>
          <t>Rate-based estimate, remaining discovery + motion practice + trial; see record, Detail-Fees-Costs tab</t>
        </is>
      </c>
    </row>
    <row r="3">
      <c r="A3" t="inlineStr">
        <is>
          <t>Injunctive relief compliance costs</t>
        </is>
      </c>
      <c r="B3" t="n">
        <v>200000</v>
      </c>
      <c r="C3" t="n">
        <v>500000</v>
      </c>
      <c r="D3" t="n">
        <v>950000</v>
      </c>
      <c r="E3" t="inlineStr">
        <is>
          <t>Process re-engineering if preliminary injunction upheld; see record, Detail-Fees-Costs tab</t>
        </is>
      </c>
    </row>
    <row r="4">
      <c r="A4" t="inlineStr">
        <is>
          <t>Damages exposure — unjust enrichment</t>
        </is>
      </c>
      <c r="B4" t="n">
        <v>1200000</v>
      </c>
      <c r="C4" t="n">
        <v>3500000</v>
      </c>
      <c r="D4" t="n">
        <v>16250000</v>
      </c>
      <c r="E4" t="inlineStr">
        <is>
          <t>Per Pryor's disclosed revenue on contested product line, FY2024 10-K segment disclosure; see record, Detail-Damages tab</t>
        </is>
      </c>
    </row>
    <row r="5">
      <c r="A5" t="inlineStr">
        <is>
          <t>Damages exposure — reasonable royalty (alt. theory)</t>
        </is>
      </c>
      <c r="B5" t="n">
        <v>600000</v>
      </c>
      <c r="C5" t="n">
        <v>1600000</v>
      </c>
      <c r="D5" t="n">
        <v>3000000</v>
      </c>
      <c r="E5" t="inlineStr">
        <is>
          <t>Georgia-Pacific factors, comparable license range; see record, Detail-Damages tab</t>
        </is>
      </c>
    </row>
    <row r="6">
      <c r="A6" t="inlineStr">
        <is>
          <t>Exemplary damages (willful/malicious finding)</t>
        </is>
      </c>
      <c r="B6" t="n">
        <v>0</v>
      </c>
      <c r="C6" t="n">
        <v>1750000</v>
      </c>
      <c r="D6" t="n">
        <v>7800000</v>
      </c>
      <c r="E6" t="inlineStr">
        <is>
          <t>Statutory cap = 2x compensatory; contingent on scienter finding; see record, trade secret statute fee/exemplary provision and Deshmukh production</t>
        </is>
      </c>
    </row>
    <row r="7">
      <c r="A7" t="inlineStr">
        <is>
          <t>Attorneys' fees exposure (if fee-shifting triggered)</t>
        </is>
      </c>
      <c r="B7" t="n">
        <v>0</v>
      </c>
      <c r="C7" t="n">
        <v>600000</v>
      </c>
      <c r="D7" t="n">
        <v>1400000</v>
      </c>
      <c r="E7" t="inlineStr">
        <is>
          <t>Prevailing-party fee provision under trade secret statute; see record, statute citation in reserve basis memo</t>
        </is>
      </c>
    </row>
    <row r="8">
      <c r="A8" t="inlineStr">
        <is>
          <t>Total exposure range</t>
        </is>
      </c>
      <c r="B8" t="n">
        <v>2850000</v>
      </c>
      <c r="C8" t="n">
        <v>9400000</v>
      </c>
      <c r="D8" t="n">
        <v>31600000</v>
      </c>
      <c r="E8" t="inlineStr">
        <is>
          <t>Sum of rows above; see Detail tabs for derivation and record citations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Assumption</t>
        </is>
      </c>
      <c r="C1" t="inlineStr">
        <is>
          <t>Value</t>
        </is>
      </c>
      <c r="D1" t="inlineStr">
        <is>
          <t>Formula/Source</t>
        </is>
      </c>
    </row>
    <row r="2">
      <c r="A2" t="inlineStr">
        <is>
          <t>Pryor contested product line revenue (annual)</t>
        </is>
      </c>
      <c r="B2" t="inlineStr">
        <is>
          <t>From Pryor 10-K segment disclosure, FY2024; see record</t>
        </is>
      </c>
      <c r="C2" t="n">
        <v>12500000</v>
      </c>
    </row>
    <row r="3">
      <c r="A3" t="inlineStr">
        <is>
          <t>Estimated margin attributable to trade secret use</t>
        </is>
      </c>
      <c r="B3" t="inlineStr">
        <is>
          <t>Expert-estimated range 30-65%; see record, expert report</t>
        </is>
      </c>
      <c r="C3" t="inlineStr">
        <is>
          <t>30%-65%</t>
        </is>
      </c>
    </row>
    <row r="4">
      <c r="A4" t="inlineStr">
        <is>
          <t>Unjust enrichment - low</t>
        </is>
      </c>
      <c r="B4" t="inlineStr">
        <is>
          <t>Revenue x low margin x 1 yr</t>
        </is>
      </c>
      <c r="C4" t="n">
        <v>3750000</v>
      </c>
      <c r="D4">
        <f>12500000*0.30</f>
        <v/>
      </c>
    </row>
    <row r="5">
      <c r="A5" t="inlineStr">
        <is>
          <t>Unjust enrichment - high</t>
        </is>
      </c>
      <c r="B5" t="inlineStr">
        <is>
          <t>Revenue x high margin x 2 yrs (use period)</t>
        </is>
      </c>
      <c r="C5" t="n">
        <v>16250000</v>
      </c>
      <c r="D5">
        <f>12500000*0.65*2</f>
        <v/>
      </c>
    </row>
    <row r="6">
      <c r="A6" t="inlineStr">
        <is>
          <t>Reasonable royalty rate range</t>
        </is>
      </c>
      <c r="B6" t="inlineStr">
        <is>
          <t>Comparable robotics IP licenses, 5-12%; see record, licensing comparables exhibit</t>
        </is>
      </c>
      <c r="C6" t="inlineStr">
        <is>
          <t>5%-12%</t>
        </is>
      </c>
    </row>
    <row r="7">
      <c r="A7" t="inlineStr">
        <is>
          <t>Royalty exposure - low</t>
        </is>
      </c>
      <c r="B7" t="inlineStr">
        <is>
          <t>Revenue x low rate x 1 yr</t>
        </is>
      </c>
      <c r="C7" t="n">
        <v>625000</v>
      </c>
      <c r="D7">
        <f>12500000*0.05</f>
        <v/>
      </c>
    </row>
    <row r="8">
      <c r="A8" t="inlineStr">
        <is>
          <t>Royalty exposure - high</t>
        </is>
      </c>
      <c r="B8" t="inlineStr">
        <is>
          <t>Revenue x high rate x 2 yrs</t>
        </is>
      </c>
      <c r="C8" t="n">
        <v>3000000</v>
      </c>
      <c r="D8">
        <f>12500000*0.12*2</f>
        <v/>
      </c>
    </row>
    <row r="9">
      <c r="A9" t="inlineStr">
        <is>
          <t>Note on exemplary damages</t>
        </is>
      </c>
      <c r="B9" t="inlineStr">
        <is>
          <t>Statute caps at 2x compensatory upon finding of willful/malicious misappropriation; Pryor's internal emails (see record, Deshmukh production, chain-of-access documents) are the principal exposure driver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Hours/Rate Basis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Remaining fact discovery (3 depositions, document review)</t>
        </is>
      </c>
      <c r="B2" t="inlineStr">
        <is>
          <t>Associate + paralegal hours at blended rate</t>
        </is>
      </c>
      <c r="C2" t="n">
        <v>380000</v>
      </c>
      <c r="D2" t="inlineStr">
        <is>
          <t>Includes Deshmukh chain-of-access follow-up; see record, production tracker (Adaora)</t>
        </is>
      </c>
    </row>
    <row r="3">
      <c r="A3" t="inlineStr">
        <is>
          <t>Expert discovery (damages + technical)</t>
        </is>
      </c>
      <c r="B3" t="inlineStr">
        <is>
          <t>2 experts, reports + depositions</t>
        </is>
      </c>
      <c r="C3" t="n">
        <v>420000</v>
      </c>
      <c r="D3" t="inlineStr">
        <is>
          <t>See record, expert disclosure schedule</t>
        </is>
      </c>
    </row>
    <row r="4">
      <c r="A4" t="inlineStr">
        <is>
          <t>Dispositive motion practice</t>
        </is>
      </c>
      <c r="B4" t="inlineStr">
        <is>
          <t>Partner + associate hours</t>
        </is>
      </c>
      <c r="C4" t="n">
        <v>350000</v>
      </c>
    </row>
    <row r="5">
      <c r="A5" t="inlineStr">
        <is>
          <t>Trial preparation and trial (5-7 trial days)</t>
        </is>
      </c>
      <c r="B5" t="inlineStr">
        <is>
          <t>Full team, trial rate</t>
        </is>
      </c>
      <c r="C5" t="n">
        <v>850000</v>
      </c>
      <c r="D5" t="inlineStr">
        <is>
          <t>High end assumes no summary judgment disposal</t>
        </is>
      </c>
    </row>
    <row r="6">
      <c r="A6" t="inlineStr">
        <is>
          <t>Injunction compliance - process audit and redesign</t>
        </is>
      </c>
      <c r="B6" t="inlineStr">
        <is>
          <t>Outside consultant + engineering time</t>
        </is>
      </c>
      <c r="C6" t="n">
        <v>500000</v>
      </c>
      <c r="D6" t="inlineStr">
        <is>
          <t>Mid estimate; contingent on scope of injunction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Status</t>
        </is>
      </c>
      <c r="C1" t="inlineStr">
        <is>
          <t>Owner</t>
        </is>
      </c>
      <c r="D1" t="inlineStr">
        <is>
          <t>Impact on Exposure</t>
        </is>
      </c>
    </row>
    <row r="2">
      <c r="A2" t="inlineStr">
        <is>
          <t>Deshmukh chain-of-access documents</t>
        </is>
      </c>
      <c r="B2" t="inlineStr">
        <is>
          <t>Section I re-verified per Rosalie/Hyunwoo; production defensibility still open; see record</t>
        </is>
      </c>
      <c r="C2" t="inlineStr">
        <is>
          <t>Hyunwoo Bae</t>
        </is>
      </c>
      <c r="D2" t="inlineStr">
        <is>
          <t>Directly affects willfulness finding and exemplary damages line</t>
        </is>
      </c>
    </row>
    <row r="3">
      <c r="A3" t="inlineStr">
        <is>
          <t>Klara's review of custodian gaps</t>
        </is>
      </c>
      <c r="B3" t="inlineStr">
        <is>
          <t>In progress</t>
        </is>
      </c>
      <c r="C3" t="inlineStr">
        <is>
          <t>Hyunwoo Bae / Rosalie Duchamp</t>
        </is>
      </c>
      <c r="D3" t="inlineStr">
        <is>
          <t>Could narrow or widen high-end exposure by ~$2-4M</t>
        </is>
      </c>
    </row>
    <row r="4">
      <c r="A4" t="inlineStr">
        <is>
          <t>Board reserve determination</t>
        </is>
      </c>
      <c r="B4" t="inlineStr">
        <is>
          <t>Pending this analysis</t>
        </is>
      </c>
      <c r="C4" t="inlineStr">
        <is>
          <t>Bennett Ashworth</t>
        </is>
      </c>
      <c r="D4" t="inlineStr">
        <is>
          <t>Drives GL reserve entry; see companion memo to Desmond Achebe</t>
        </is>
      </c>
    </row>
    <row r="5">
      <c r="A5" t="inlineStr">
        <is>
          <t>Figure verification pass</t>
        </is>
      </c>
      <c r="B5" t="inlineStr">
        <is>
          <t>Completed — all exposure figures cross-checked against Detail tabs, Pryor 10-K, and Deshmukh production; Unjust Enrichment High corrected to $16,250,000 to match formula-based derivation</t>
        </is>
      </c>
      <c r="C5" t="inlineStr">
        <is>
          <t>Bennett Ashworth</t>
        </is>
      </c>
      <c r="D5" t="inlineStr">
        <is>
          <t>Corrects Total Exposure High from $23,250,000 to $31,600,000; see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