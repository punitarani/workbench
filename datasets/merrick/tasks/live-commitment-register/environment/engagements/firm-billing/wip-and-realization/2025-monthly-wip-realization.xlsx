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Unreleased Prebills - Exception" sheetId="2" state="visible" r:id="rId2"/>
    <sheet xmlns:r="http://schemas.openxmlformats.org/officeDocument/2006/relationships" name="Aged Receiv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Beginning</t>
        </is>
      </c>
      <c r="D1" t="inlineStr">
        <is>
          <t>Time Added</t>
        </is>
      </c>
      <c r="E1" t="inlineStr">
        <is>
          <t>Prebill Issued</t>
        </is>
      </c>
      <c r="F1" t="inlineStr">
        <is>
          <t>Write-offs</t>
        </is>
      </c>
      <c r="G1" t="inlineStr">
        <is>
          <t>WIP Ending</t>
        </is>
      </c>
      <c r="H1" t="inlineStr">
        <is>
          <t>Realization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84210</v>
      </c>
      <c r="D2" t="n">
        <v>22340</v>
      </c>
      <c r="E2" t="n">
        <v>61500</v>
      </c>
      <c r="F2" t="n">
        <v>1200</v>
      </c>
      <c r="G2" t="n">
        <v>43850</v>
      </c>
      <c r="H2">
        <f>1-(F2/(B2+C2))</f>
        <v/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19875.5</v>
      </c>
      <c r="D3" t="n">
        <v>8100</v>
      </c>
      <c r="E3" t="n">
        <v>15000</v>
      </c>
      <c r="F3" t="n">
        <v>0</v>
      </c>
      <c r="G3" t="n">
        <v>12975.5</v>
      </c>
      <c r="H3">
        <f>1-(F3/(B3+C3))</f>
        <v/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12640</v>
      </c>
      <c r="D4" t="n">
        <v>4300</v>
      </c>
      <c r="E4" t="n">
        <v>9800</v>
      </c>
      <c r="F4" t="n">
        <v>0</v>
      </c>
      <c r="G4" t="n">
        <v>7140</v>
      </c>
      <c r="H4">
        <f>1-(F4/(B4+C4))</f>
        <v/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61050.25</v>
      </c>
      <c r="D5" t="n">
        <v>31200</v>
      </c>
      <c r="E5" t="n">
        <v>42000</v>
      </c>
      <c r="F5" t="n">
        <v>3750</v>
      </c>
      <c r="G5" t="n">
        <v>46500.25</v>
      </c>
      <c r="H5">
        <f>1-(F5/(B5+C5))</f>
        <v/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103400</v>
      </c>
      <c r="D6" t="n">
        <v>54200</v>
      </c>
      <c r="E6" t="n">
        <v>98000</v>
      </c>
      <c r="F6" t="n">
        <v>0</v>
      </c>
      <c r="G6" t="n">
        <v>59600</v>
      </c>
      <c r="H6">
        <f>1-(F6/(B6+C6))</f>
        <v/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28115.75</v>
      </c>
      <c r="D7" t="n">
        <v>11900</v>
      </c>
      <c r="E7" t="n">
        <v>25000</v>
      </c>
      <c r="F7" t="n">
        <v>500</v>
      </c>
      <c r="G7" t="n">
        <v>14515.75</v>
      </c>
      <c r="H7">
        <f>1-(F7/(B7+C7))</f>
        <v/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45620</v>
      </c>
      <c r="D8" t="n">
        <v>19800</v>
      </c>
      <c r="E8" t="n">
        <v>40000</v>
      </c>
      <c r="F8" t="n">
        <v>0</v>
      </c>
      <c r="G8" t="n">
        <v>25420</v>
      </c>
      <c r="H8">
        <f>1-(F8/(B8+C8))</f>
        <v/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37980</v>
      </c>
      <c r="D9" t="n">
        <v>26500</v>
      </c>
      <c r="E9" t="n">
        <v>30000</v>
      </c>
      <c r="F9" t="n">
        <v>0</v>
      </c>
      <c r="G9" t="n">
        <v>34480</v>
      </c>
      <c r="H9">
        <f>1-(F9/(B9+C9))</f>
        <v/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21300</v>
      </c>
      <c r="D10" t="n">
        <v>9750</v>
      </c>
      <c r="E10" t="n">
        <v>18000</v>
      </c>
      <c r="F10" t="n">
        <v>0</v>
      </c>
      <c r="G10" t="n">
        <v>13050</v>
      </c>
      <c r="H10">
        <f>1-(F10/(B10+C10))</f>
        <v/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156800</v>
      </c>
      <c r="D11" t="n">
        <v>88400</v>
      </c>
      <c r="E11" t="n">
        <v>150000</v>
      </c>
      <c r="F11" t="n">
        <v>2100</v>
      </c>
      <c r="G11" t="n">
        <v>93100</v>
      </c>
      <c r="H11">
        <f>1-(F11/(B11+C11))</f>
        <v/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22140</v>
      </c>
      <c r="D12" t="n">
        <v>14600</v>
      </c>
      <c r="E12" t="n">
        <v>20000</v>
      </c>
      <c r="F12" t="n">
        <v>0</v>
      </c>
      <c r="G12" t="n">
        <v>16740</v>
      </c>
      <c r="H12">
        <f>1-(F12/(B12+C12))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Timekeeper</t>
        </is>
      </c>
      <c r="D1" t="inlineStr">
        <is>
          <t>Days Held</t>
        </is>
      </c>
      <c r="E1" t="inlineStr">
        <is>
          <t>Amount</t>
        </is>
      </c>
      <c r="F1" t="inlineStr">
        <is>
          <t>Reason Flagged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J. Farrow</t>
        </is>
      </c>
      <c r="D2" t="n">
        <v>9</v>
      </c>
      <c r="E2" t="n">
        <v>4820</v>
      </c>
      <c r="F2" t="inlineStr">
        <is>
          <t>Narrative missing on 3 entries</t>
        </is>
      </c>
    </row>
    <row r="3">
      <c r="A3" t="inlineStr">
        <is>
          <t>Pellumbra</t>
        </is>
      </c>
      <c r="B3" t="inlineStr">
        <is>
          <t>Series C disclosure schedule</t>
        </is>
      </c>
      <c r="C3" t="inlineStr">
        <is>
          <t>R. Okafor</t>
        </is>
      </c>
      <c r="D3" t="n">
        <v>6</v>
      </c>
      <c r="E3" t="n">
        <v>2960</v>
      </c>
      <c r="F3" t="inlineStr">
        <is>
          <t>Round-number time entries, 5 lines at exactly 4.00 hrs</t>
        </is>
      </c>
    </row>
    <row r="4">
      <c r="A4" t="inlineStr">
        <is>
          <t>Northmoor</t>
        </is>
      </c>
      <c r="B4" t="inlineStr">
        <is>
          <t>Sandhurst platform acquisition</t>
        </is>
      </c>
      <c r="C4" t="inlineStr">
        <is>
          <t>M. Ibsen</t>
        </is>
      </c>
      <c r="D4" t="n">
        <v>4</v>
      </c>
      <c r="E4" t="n">
        <v>11400</v>
      </c>
      <c r="F4" t="inlineStr">
        <is>
          <t>Rate exception, partner approval pending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T. Wren</t>
        </is>
      </c>
      <c r="D5" t="n">
        <v>12</v>
      </c>
      <c r="E5" t="n">
        <v>1875</v>
      </c>
      <c r="F5" t="inlineStr">
        <is>
          <t>Held past 10-day policy, no response to two reminders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0-30</t>
        </is>
      </c>
      <c r="D1" t="inlineStr">
        <is>
          <t>31-60</t>
        </is>
      </c>
      <c r="E1" t="inlineStr">
        <is>
          <t>61-90</t>
        </is>
      </c>
      <c r="F1" t="inlineStr">
        <is>
          <t>91+</t>
        </is>
      </c>
      <c r="G1" t="inlineStr">
        <is>
          <t>Total Outstanding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61500</v>
      </c>
      <c r="D2" t="n">
        <v>0</v>
      </c>
      <c r="E2" t="n">
        <v>0</v>
      </c>
      <c r="F2" t="n">
        <v>0</v>
      </c>
      <c r="G2" t="n">
        <v>61500</v>
      </c>
    </row>
    <row r="3">
      <c r="A3" t="inlineStr">
        <is>
          <t>Verity Grain</t>
        </is>
      </c>
      <c r="B3" t="inlineStr">
        <is>
          <t>Ardmore elevator acquisition</t>
        </is>
      </c>
      <c r="C3" t="n">
        <v>42000</v>
      </c>
      <c r="D3" t="n">
        <v>38000</v>
      </c>
      <c r="E3" t="n">
        <v>0</v>
      </c>
      <c r="F3" t="n">
        <v>0</v>
      </c>
      <c r="G3" t="n">
        <v>80000</v>
      </c>
    </row>
    <row r="4">
      <c r="A4" t="inlineStr">
        <is>
          <t>Halden Orthopedics</t>
        </is>
      </c>
      <c r="B4" t="inlineStr">
        <is>
          <t>Tessaro malpractice defence</t>
        </is>
      </c>
      <c r="C4" t="n">
        <v>0</v>
      </c>
      <c r="D4" t="n">
        <v>0</v>
      </c>
      <c r="E4" t="n">
        <v>15200</v>
      </c>
      <c r="F4" t="n">
        <v>8750</v>
      </c>
      <c r="G4" t="n">
        <v>23950</v>
      </c>
    </row>
    <row r="5">
      <c r="A5" t="inlineStr">
        <is>
          <t>Northmoor</t>
        </is>
      </c>
      <c r="B5" t="inlineStr">
        <is>
          <t>Sandhurst platform acquisition</t>
        </is>
      </c>
      <c r="C5" t="n">
        <v>92000</v>
      </c>
      <c r="D5" t="n">
        <v>41500</v>
      </c>
      <c r="E5" t="n">
        <v>0</v>
      </c>
      <c r="F5" t="n">
        <v>0</v>
      </c>
      <c r="G5" t="n">
        <v>133500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