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P Summary" sheetId="1" state="visible" r:id="rId1"/>
    <sheet xmlns:r="http://schemas.openxmlformats.org/officeDocument/2006/relationships" name="Totals &amp; Fl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Partner</t>
        </is>
      </c>
      <c r="D1" t="inlineStr">
        <is>
          <t>WIP Balance ($)</t>
        </is>
      </c>
      <c r="E1" t="inlineStr">
        <is>
          <t>Last Bill Date</t>
        </is>
      </c>
      <c r="F1" t="inlineStr">
        <is>
          <t>Days Since Bill</t>
        </is>
      </c>
      <c r="G1" t="inlineStr">
        <is>
          <t>Realization % (Trailing 90d)</t>
        </is>
      </c>
      <c r="H1" t="inlineStr">
        <is>
          <t>Flag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inlineStr">
        <is>
          <t>A. Nwosu</t>
        </is>
      </c>
      <c r="D2" t="n">
        <v>184500</v>
      </c>
      <c r="E2" t="inlineStr">
        <is>
          <t>2024-05-02</t>
        </is>
      </c>
      <c r="F2" t="n">
        <v>41</v>
      </c>
      <c r="G2" t="inlineStr">
        <is>
          <t>88%</t>
        </is>
      </c>
      <c r="H2" t="inlineStr"/>
    </row>
    <row r="3">
      <c r="A3" t="inlineStr">
        <is>
          <t>Coastal Meridian</t>
        </is>
      </c>
      <c r="B3" t="inlineStr">
        <is>
          <t>Credit agreement covenant review</t>
        </is>
      </c>
      <c r="C3" t="inlineStr">
        <is>
          <t>A. Nwosu</t>
        </is>
      </c>
      <c r="D3" t="n">
        <v>62300</v>
      </c>
      <c r="E3" t="inlineStr">
        <is>
          <t>2024-05-10</t>
        </is>
      </c>
      <c r="F3" t="n">
        <v>33</v>
      </c>
      <c r="G3" t="inlineStr">
        <is>
          <t>94%</t>
        </is>
      </c>
      <c r="H3" t="inlineStr"/>
    </row>
    <row r="4">
      <c r="A4" t="inlineStr">
        <is>
          <t>Halden Orthopedics</t>
        </is>
      </c>
      <c r="B4" t="inlineStr">
        <is>
          <t>Renwick non-compete</t>
        </is>
      </c>
      <c r="C4" t="inlineStr">
        <is>
          <t>A. Nwosu</t>
        </is>
      </c>
      <c r="D4" t="n">
        <v>41750</v>
      </c>
      <c r="E4" t="inlineStr">
        <is>
          <t>2024-04-28</t>
        </is>
      </c>
      <c r="F4" t="n">
        <v>45</v>
      </c>
      <c r="G4" t="inlineStr">
        <is>
          <t>81%</t>
        </is>
      </c>
      <c r="H4" t="inlineStr">
        <is>
          <t>Aging</t>
        </is>
      </c>
    </row>
    <row r="5">
      <c r="A5" t="inlineStr">
        <is>
          <t>Halden Orthopedics</t>
        </is>
      </c>
      <c r="B5" t="inlineStr">
        <is>
          <t>Tessaro malpractice defence</t>
        </is>
      </c>
      <c r="C5" t="inlineStr">
        <is>
          <t>A. Nwosu</t>
        </is>
      </c>
      <c r="D5" t="n">
        <v>210900</v>
      </c>
      <c r="E5" t="inlineStr">
        <is>
          <t>2024-05-14</t>
        </is>
      </c>
      <c r="F5" t="n">
        <v>29</v>
      </c>
      <c r="G5" t="inlineStr">
        <is>
          <t>90%</t>
        </is>
      </c>
      <c r="H5" t="inlineStr"/>
    </row>
    <row r="6">
      <c r="A6" t="inlineStr">
        <is>
          <t>Verity Grain</t>
        </is>
      </c>
      <c r="B6" t="inlineStr">
        <is>
          <t>Ardmore elevator acquisition</t>
        </is>
      </c>
      <c r="C6" t="inlineStr">
        <is>
          <t>A. Nwosu</t>
        </is>
      </c>
      <c r="D6" t="n">
        <v>156200</v>
      </c>
      <c r="E6" t="inlineStr">
        <is>
          <t>2024-05-16</t>
        </is>
      </c>
      <c r="F6" t="n">
        <v>27</v>
      </c>
      <c r="G6" t="inlineStr">
        <is>
          <t>97%</t>
        </is>
      </c>
      <c r="H6" t="inlineStr"/>
    </row>
    <row r="7">
      <c r="A7" t="inlineStr">
        <is>
          <t>Verity Grain</t>
        </is>
      </c>
      <c r="B7" t="inlineStr">
        <is>
          <t>Hollstead supply dispute</t>
        </is>
      </c>
      <c r="C7" t="inlineStr">
        <is>
          <t>A. Nwosu</t>
        </is>
      </c>
      <c r="D7" t="n">
        <v>88400</v>
      </c>
      <c r="E7" t="inlineStr">
        <is>
          <t>2024-04-30</t>
        </is>
      </c>
      <c r="F7" t="n">
        <v>43</v>
      </c>
      <c r="G7" t="inlineStr">
        <is>
          <t>79%</t>
        </is>
      </c>
      <c r="H7" t="inlineStr">
        <is>
          <t>Aging</t>
        </is>
      </c>
    </row>
    <row r="8">
      <c r="A8" t="inlineStr">
        <is>
          <t>Pellumbra</t>
        </is>
      </c>
      <c r="B8" t="inlineStr">
        <is>
          <t>Ravenna collaboration agreement</t>
        </is>
      </c>
      <c r="C8" t="inlineStr">
        <is>
          <t>A. Nwosu</t>
        </is>
      </c>
      <c r="D8" t="n">
        <v>97650</v>
      </c>
      <c r="E8" t="inlineStr">
        <is>
          <t>2024-05-01</t>
        </is>
      </c>
      <c r="F8" t="n">
        <v>42</v>
      </c>
      <c r="G8" t="inlineStr">
        <is>
          <t>85%</t>
        </is>
      </c>
      <c r="H8" t="inlineStr">
        <is>
          <t>Aging - ownership dispute open</t>
        </is>
      </c>
    </row>
    <row r="9">
      <c r="A9" t="inlineStr">
        <is>
          <t>Pellumbra</t>
        </is>
      </c>
      <c r="B9" t="inlineStr">
        <is>
          <t>Series C disclosure schedule</t>
        </is>
      </c>
      <c r="C9" t="inlineStr">
        <is>
          <t>A. Nwosu</t>
        </is>
      </c>
      <c r="D9" t="n">
        <v>73200</v>
      </c>
      <c r="E9" t="inlineStr">
        <is>
          <t>2024-05-12</t>
        </is>
      </c>
      <c r="F9" t="n">
        <v>31</v>
      </c>
      <c r="G9" t="inlineStr">
        <is>
          <t>96%</t>
        </is>
      </c>
      <c r="H9" t="inlineStr"/>
    </row>
    <row r="10">
      <c r="A10" t="inlineStr">
        <is>
          <t>Pellumbra</t>
        </is>
      </c>
      <c r="B10" t="inlineStr">
        <is>
          <t>Cross-border clinical data assessment</t>
        </is>
      </c>
      <c r="C10" t="inlineStr">
        <is>
          <t>A. Nwosu</t>
        </is>
      </c>
      <c r="D10" t="n">
        <v>54800</v>
      </c>
      <c r="E10" t="inlineStr">
        <is>
          <t>2024-04-25</t>
        </is>
      </c>
      <c r="F10" t="n">
        <v>48</v>
      </c>
      <c r="G10" t="inlineStr">
        <is>
          <t>76%</t>
        </is>
      </c>
      <c r="H10" t="inlineStr">
        <is>
          <t>Aging</t>
        </is>
      </c>
    </row>
    <row r="11">
      <c r="A11" t="inlineStr">
        <is>
          <t>Northmoor</t>
        </is>
      </c>
      <c r="B11" t="inlineStr">
        <is>
          <t>Sandhurst platform acquisition</t>
        </is>
      </c>
      <c r="C11" t="inlineStr">
        <is>
          <t>A. Nwosu</t>
        </is>
      </c>
      <c r="D11" t="n">
        <v>121300</v>
      </c>
      <c r="E11" t="inlineStr">
        <is>
          <t>2024-05-15</t>
        </is>
      </c>
      <c r="F11" t="n">
        <v>28</v>
      </c>
      <c r="G11" t="inlineStr">
        <is>
          <t>92%</t>
        </is>
      </c>
      <c r="H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WIP ($)</t>
        </is>
      </c>
      <c r="B2">
        <f>SUM('WIP Summary'!D2:D11)</f>
        <v/>
      </c>
    </row>
    <row r="3">
      <c r="A3" t="inlineStr">
        <is>
          <t>Average Realization %</t>
        </is>
      </c>
      <c r="B3">
        <f>AVERAGE('WIP Summary'!G2:G11)</f>
        <v/>
      </c>
    </row>
    <row r="4">
      <c r="A4" t="inlineStr">
        <is>
          <t>Matters Aged Over 40 Days</t>
        </is>
      </c>
      <c r="B4">
        <f>COUNTIF('WIP Summary'!F2:F11,"&gt;40")</f>
        <v/>
      </c>
    </row>
    <row r="5">
      <c r="A5" t="inlineStr">
        <is>
          <t>Matters Flagged</t>
        </is>
      </c>
      <c r="B5">
        <f>COUNTIF('WIP Summary'!H2:H11,"&lt;&gt;")</f>
        <v/>
      </c>
    </row>
    <row r="6">
      <c r="A6" t="inlineStr">
        <is>
          <t>Note</t>
        </is>
      </c>
      <c r="B6" t="inlineStr">
        <is>
          <t>Ravenna ownership dispute is holding billing on that matter — resolve with Dov before next bill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2026-08-22T22:45:14Z</dcterms:created>
  <dcterms:modified xmlns:dcterms="http://purl.org/dc/terms/" xmlns:xsi="http://www.w3.org/2001/XMLSchema-instance" xsi:type="dcterms:W3CDTF">2026-08-22T22:45:14Z</dcterms:modified>
</cp:coreProperties>
</file>