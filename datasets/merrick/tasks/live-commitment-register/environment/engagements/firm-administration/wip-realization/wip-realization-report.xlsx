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&amp; Realiz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Billing Partner</t>
        </is>
      </c>
      <c r="D1" t="inlineStr">
        <is>
          <t>WIP Hours</t>
        </is>
      </c>
      <c r="E1" t="inlineStr">
        <is>
          <t>WIP Value ($)</t>
        </is>
      </c>
      <c r="F1" t="inlineStr">
        <is>
          <t>Fees Billed YTD ($)</t>
        </is>
      </c>
      <c r="G1" t="inlineStr">
        <is>
          <t>Fees Collected YTD ($)</t>
        </is>
      </c>
      <c r="H1" t="inlineStr">
        <is>
          <t>Realization %</t>
        </is>
      </c>
      <c r="I1" t="inlineStr">
        <is>
          <t>Oldest Unbilled (days)</t>
        </is>
      </c>
      <c r="J1" t="inlineStr">
        <is>
          <t>Notes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A. Nwosu</t>
        </is>
      </c>
      <c r="D2" t="n">
        <v>210</v>
      </c>
      <c r="E2" t="n">
        <v>189000</v>
      </c>
      <c r="F2" t="n">
        <v>420000</v>
      </c>
      <c r="G2" t="n">
        <v>398000</v>
      </c>
      <c r="H2">
        <f>F2/E2</f>
        <v/>
      </c>
      <c r="I2" t="n">
        <v>22</v>
      </c>
      <c r="J2" t="inlineStr">
        <is>
          <t>Active; steady billing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A. Nwosu</t>
        </is>
      </c>
      <c r="D3" t="n">
        <v>38</v>
      </c>
      <c r="E3" t="n">
        <v>34200</v>
      </c>
      <c r="F3" t="n">
        <v>61000</v>
      </c>
      <c r="G3" t="n">
        <v>61000</v>
      </c>
      <c r="H3">
        <f>F3/E3</f>
        <v/>
      </c>
      <c r="I3" t="n">
        <v>9</v>
      </c>
      <c r="J3" t="inlineStr">
        <is>
          <t>Covenant answer sent this week; near close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A. Nwosu</t>
        </is>
      </c>
      <c r="D4" t="n">
        <v>64</v>
      </c>
      <c r="E4" t="n">
        <v>57600</v>
      </c>
      <c r="F4" t="n">
        <v>88000</v>
      </c>
      <c r="G4" t="n">
        <v>74000</v>
      </c>
      <c r="H4">
        <f>F4/E4</f>
        <v/>
      </c>
      <c r="I4" t="n">
        <v>41</v>
      </c>
      <c r="J4" t="inlineStr">
        <is>
          <t>Slow client pay; monitor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A. Nwosu</t>
        </is>
      </c>
      <c r="D5" t="n">
        <v>302</v>
      </c>
      <c r="E5" t="n">
        <v>271800</v>
      </c>
      <c r="F5" t="n">
        <v>540000</v>
      </c>
      <c r="G5" t="n">
        <v>512000</v>
      </c>
      <c r="H5">
        <f>F5/E5</f>
        <v/>
      </c>
      <c r="I5" t="n">
        <v>18</v>
      </c>
      <c r="J5" t="inlineStr">
        <is>
          <t>Trial prep ramp-up expected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A. Nwosu</t>
        </is>
      </c>
      <c r="D6" t="n">
        <v>156</v>
      </c>
      <c r="E6" t="n">
        <v>140400</v>
      </c>
      <c r="F6" t="n">
        <v>210000</v>
      </c>
      <c r="G6" t="n">
        <v>210000</v>
      </c>
      <c r="H6">
        <f>F6/E6</f>
        <v/>
      </c>
      <c r="I6" t="n">
        <v>12</v>
      </c>
      <c r="J6" t="inlineStr">
        <is>
          <t>On track to close this quarter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A. Nwosu</t>
        </is>
      </c>
      <c r="D7" t="n">
        <v>91</v>
      </c>
      <c r="E7" t="n">
        <v>81900</v>
      </c>
      <c r="F7" t="n">
        <v>130000</v>
      </c>
      <c r="G7" t="n">
        <v>118000</v>
      </c>
      <c r="H7">
        <f>F7/E7</f>
        <v/>
      </c>
      <c r="I7" t="n">
        <v>27</v>
      </c>
      <c r="J7" t="inlineStr">
        <is>
          <t>Discovery ongoing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A. Nwosu</t>
        </is>
      </c>
      <c r="D8" t="n">
        <v>47</v>
      </c>
      <c r="E8" t="n">
        <v>42300</v>
      </c>
      <c r="F8" t="n">
        <v>75000</v>
      </c>
      <c r="G8" t="n">
        <v>75000</v>
      </c>
      <c r="H8">
        <f>F8/E8</f>
        <v/>
      </c>
      <c r="I8" t="n">
        <v>6</v>
      </c>
      <c r="J8" t="inlineStr">
        <is>
          <t>Near-final draft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A. Nwosu</t>
        </is>
      </c>
      <c r="D9" t="n">
        <v>88</v>
      </c>
      <c r="E9" t="n">
        <v>79200</v>
      </c>
      <c r="F9" t="n">
        <v>95000</v>
      </c>
      <c r="G9" t="n">
        <v>60000</v>
      </c>
      <c r="H9">
        <f>F9/E9</f>
        <v/>
      </c>
      <c r="I9" t="n">
        <v>34</v>
      </c>
      <c r="J9" t="inlineStr">
        <is>
          <t>Client slow to return schedules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A. Nwosu</t>
        </is>
      </c>
      <c r="D10" t="n">
        <v>29</v>
      </c>
      <c r="E10" t="n">
        <v>26100</v>
      </c>
      <c r="F10" t="n">
        <v>40000</v>
      </c>
      <c r="G10" t="n">
        <v>40000</v>
      </c>
      <c r="H10">
        <f>F10/E10</f>
        <v/>
      </c>
      <c r="I10" t="n">
        <v>8</v>
      </c>
      <c r="J10" t="inlineStr">
        <is>
          <t>Scoping complete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A. Nwosu</t>
        </is>
      </c>
      <c r="D11" t="n">
        <v>245</v>
      </c>
      <c r="E11" t="n">
        <v>220500</v>
      </c>
      <c r="F11" t="n">
        <v>300000</v>
      </c>
      <c r="G11" t="n">
        <v>260000</v>
      </c>
      <c r="H11">
        <f>F11/E11</f>
        <v/>
      </c>
      <c r="I11" t="n">
        <v>30</v>
      </c>
      <c r="J11" t="inlineStr">
        <is>
          <t>Key candidate for closing-this-quarter 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WIP Value ($)</t>
        </is>
      </c>
      <c r="B2">
        <f>SUM('WIP &amp; Realization'!E2:E11)</f>
        <v/>
      </c>
    </row>
    <row r="3">
      <c r="A3" t="inlineStr">
        <is>
          <t>Total Billed YTD ($)</t>
        </is>
      </c>
      <c r="B3">
        <f>SUM('WIP &amp; Realization'!F2:F11)</f>
        <v/>
      </c>
    </row>
    <row r="4">
      <c r="A4" t="inlineStr">
        <is>
          <t>Total Collected YTD ($)</t>
        </is>
      </c>
      <c r="B4">
        <f>SUM('WIP &amp; Realization'!G2:G11)</f>
        <v/>
      </c>
    </row>
    <row r="5">
      <c r="A5" t="inlineStr">
        <is>
          <t>Firm Realization %</t>
        </is>
      </c>
      <c r="B5">
        <f>Summary!C4/Summary!C3</f>
        <v/>
      </c>
    </row>
    <row r="6">
      <c r="A6" t="inlineStr">
        <is>
          <t>Matters with unbilled WIP &gt; 30 days</t>
        </is>
      </c>
      <c r="B6">
        <f>COUNTIF('WIP &amp; Realization'!I2:I11,"&gt;30")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