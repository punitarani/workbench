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 Detail" sheetId="2" state="visible" r:id="rId2"/>
    <sheet xmlns:r="http://schemas.openxmlformats.org/officeDocument/2006/relationships" name="Aging Bu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Partner</t>
        </is>
      </c>
      <c r="D1" t="inlineStr">
        <is>
          <t>WIP Balance ($)</t>
        </is>
      </c>
      <c r="E1" t="inlineStr">
        <is>
          <t>Days Outstanding</t>
        </is>
      </c>
      <c r="F1" t="inlineStr">
        <is>
          <t>Last Bill Date</t>
        </is>
      </c>
      <c r="G1" t="inlineStr">
        <is>
          <t>Realization % (Trailing 3mo)</t>
        </is>
      </c>
      <c r="H1" t="inlineStr">
        <is>
          <t>Flag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Nwosu</t>
        </is>
      </c>
      <c r="D2" t="n">
        <v>184500</v>
      </c>
      <c r="E2" t="n">
        <v>62</v>
      </c>
      <c r="F2" t="inlineStr">
        <is>
          <t>2025-04-10</t>
        </is>
      </c>
      <c r="G2" t="n">
        <v>91</v>
      </c>
      <c r="H2" t="inlineStr">
        <is>
          <t>Second Request 3-wk clock running — confirm scope/deadlines w/ M. Oyelaran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Nwosu</t>
        </is>
      </c>
      <c r="D3" t="n">
        <v>42750</v>
      </c>
      <c r="E3" t="n">
        <v>38</v>
      </c>
      <c r="F3" t="inlineStr">
        <is>
          <t>2025-04-28</t>
        </is>
      </c>
      <c r="G3" t="n">
        <v>96</v>
      </c>
      <c r="H3" t="inlineStr">
        <is>
          <t>Covenant lift confirmed by client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Nwosu</t>
        </is>
      </c>
      <c r="D4" t="n">
        <v>21300</v>
      </c>
      <c r="E4" t="n">
        <v>71</v>
      </c>
      <c r="F4" t="inlineStr">
        <is>
          <t>2025-04-01</t>
        </is>
      </c>
      <c r="G4" t="n">
        <v>78</v>
      </c>
      <c r="H4" t="inlineStr">
        <is>
          <t>Aging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Nwosu</t>
        </is>
      </c>
      <c r="D5" t="n">
        <v>96800</v>
      </c>
      <c r="E5" t="n">
        <v>44</v>
      </c>
      <c r="F5" t="inlineStr">
        <is>
          <t>2025-04-22</t>
        </is>
      </c>
      <c r="G5" t="n">
        <v>88</v>
      </c>
      <c r="H5" t="inlineStr"/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Nwosu</t>
        </is>
      </c>
      <c r="D6" t="n">
        <v>138900</v>
      </c>
      <c r="E6" t="n">
        <v>29</v>
      </c>
      <c r="F6" t="inlineStr">
        <is>
          <t>2025-05-05</t>
        </is>
      </c>
      <c r="G6" t="n">
        <v>97</v>
      </c>
      <c r="H6" t="inlineStr"/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Nwosu</t>
        </is>
      </c>
      <c r="D7" t="n">
        <v>67200</v>
      </c>
      <c r="E7" t="n">
        <v>55</v>
      </c>
      <c r="F7" t="inlineStr">
        <is>
          <t>2025-04-15</t>
        </is>
      </c>
      <c r="G7" t="n">
        <v>82</v>
      </c>
      <c r="H7" t="inlineStr"/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Nwosu</t>
        </is>
      </c>
      <c r="D8" t="n">
        <v>58400</v>
      </c>
      <c r="E8" t="n">
        <v>33</v>
      </c>
      <c r="F8" t="inlineStr">
        <is>
          <t>2025-04-30</t>
        </is>
      </c>
      <c r="G8" t="n">
        <v>94</v>
      </c>
      <c r="H8" t="inlineStr"/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Nwosu</t>
        </is>
      </c>
      <c r="D9" t="n">
        <v>74600</v>
      </c>
      <c r="E9" t="n">
        <v>21</v>
      </c>
      <c r="F9" t="inlineStr">
        <is>
          <t>2025-05-12</t>
        </is>
      </c>
      <c r="G9" t="n">
        <v>99</v>
      </c>
      <c r="H9" t="inlineStr"/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Nwosu</t>
        </is>
      </c>
      <c r="D10" t="n">
        <v>39100</v>
      </c>
      <c r="E10" t="n">
        <v>47</v>
      </c>
      <c r="F10" t="inlineStr">
        <is>
          <t>2025-04-19</t>
        </is>
      </c>
      <c r="G10" t="n">
        <v>85</v>
      </c>
      <c r="H10" t="inlineStr"/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Nwosu</t>
        </is>
      </c>
      <c r="D11" t="n">
        <v>211000</v>
      </c>
      <c r="E11" t="n">
        <v>18</v>
      </c>
      <c r="F11" t="inlineStr">
        <is>
          <t>2025-05-16</t>
        </is>
      </c>
      <c r="G11" t="n">
        <v>98</v>
      </c>
      <c r="H11" t="inlineStr"/>
    </row>
    <row r="12">
      <c r="A12" t="inlineStr">
        <is>
          <t>Firm</t>
        </is>
      </c>
      <c r="B12" t="inlineStr">
        <is>
          <t>Administration</t>
        </is>
      </c>
      <c r="C12" t="inlineStr">
        <is>
          <t>Nwosu</t>
        </is>
      </c>
      <c r="D12" t="n">
        <v>0</v>
      </c>
      <c r="E12" t="n">
        <v>0</v>
      </c>
      <c r="F12" t="inlineStr"/>
      <c r="G12" t="n">
        <v>0</v>
      </c>
      <c r="H12" t="inlineStr">
        <is>
          <t>Non-billable</t>
        </is>
      </c>
    </row>
    <row r="13">
      <c r="A13" t="inlineStr">
        <is>
          <t>Firm</t>
        </is>
      </c>
      <c r="B13" t="inlineStr">
        <is>
          <t>Internal meetings</t>
        </is>
      </c>
      <c r="C13" t="inlineStr">
        <is>
          <t>Nwosu</t>
        </is>
      </c>
      <c r="D13" t="n">
        <v>0</v>
      </c>
      <c r="E13" t="n">
        <v>0</v>
      </c>
      <c r="F13" t="inlineStr"/>
      <c r="G13" t="n">
        <v>0</v>
      </c>
      <c r="H13" t="inlineStr">
        <is>
          <t>Non-billable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Hours Billed</t>
        </is>
      </c>
      <c r="D1" t="inlineStr">
        <is>
          <t>Standard Value ($)</t>
        </is>
      </c>
      <c r="E1" t="inlineStr">
        <is>
          <t>Amount Billed ($)</t>
        </is>
      </c>
      <c r="F1" t="inlineStr">
        <is>
          <t>Write-off ($)</t>
        </is>
      </c>
      <c r="G1" t="inlineStr">
        <is>
          <t>Write-off %</t>
        </is>
      </c>
      <c r="H1" t="inlineStr">
        <is>
          <t>Realization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210</v>
      </c>
      <c r="D2" t="n">
        <v>189000</v>
      </c>
      <c r="E2" t="n">
        <v>172000</v>
      </c>
      <c r="F2" t="n">
        <v>17000</v>
      </c>
      <c r="G2" t="inlineStr">
        <is>
          <t>9.0%</t>
        </is>
      </c>
      <c r="H2" t="n">
        <v>91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58</v>
      </c>
      <c r="D3" t="n">
        <v>46400</v>
      </c>
      <c r="E3" t="n">
        <v>44500</v>
      </c>
      <c r="F3" t="n">
        <v>1900</v>
      </c>
      <c r="G3" t="inlineStr">
        <is>
          <t>4.1%</t>
        </is>
      </c>
      <c r="H3" t="n">
        <v>96</v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41</v>
      </c>
      <c r="D4" t="n">
        <v>30750</v>
      </c>
      <c r="E4" t="n">
        <v>24000</v>
      </c>
      <c r="F4" t="n">
        <v>6750</v>
      </c>
      <c r="G4" t="inlineStr">
        <is>
          <t>22.0%</t>
        </is>
      </c>
      <c r="H4" t="n">
        <v>78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132</v>
      </c>
      <c r="D5" t="n">
        <v>105600</v>
      </c>
      <c r="E5" t="n">
        <v>93000</v>
      </c>
      <c r="F5" t="n">
        <v>12600</v>
      </c>
      <c r="G5" t="inlineStr">
        <is>
          <t>11.9%</t>
        </is>
      </c>
      <c r="H5" t="n">
        <v>88</v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165</v>
      </c>
      <c r="D6" t="n">
        <v>148500</v>
      </c>
      <c r="E6" t="n">
        <v>144000</v>
      </c>
      <c r="F6" t="n">
        <v>4500</v>
      </c>
      <c r="G6" t="inlineStr">
        <is>
          <t>3.0%</t>
        </is>
      </c>
      <c r="H6" t="n">
        <v>97</v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88</v>
      </c>
      <c r="D7" t="n">
        <v>70400</v>
      </c>
      <c r="E7" t="n">
        <v>57700</v>
      </c>
      <c r="F7" t="n">
        <v>12700</v>
      </c>
      <c r="G7" t="inlineStr">
        <is>
          <t>18.0%</t>
        </is>
      </c>
      <c r="H7" t="n">
        <v>82</v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76</v>
      </c>
      <c r="D8" t="n">
        <v>60800</v>
      </c>
      <c r="E8" t="n">
        <v>57150</v>
      </c>
      <c r="F8" t="n">
        <v>3650</v>
      </c>
      <c r="G8" t="inlineStr">
        <is>
          <t>6.0%</t>
        </is>
      </c>
      <c r="H8" t="n">
        <v>94</v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93</v>
      </c>
      <c r="D9" t="n">
        <v>74400</v>
      </c>
      <c r="E9" t="n">
        <v>73650</v>
      </c>
      <c r="F9" t="n">
        <v>750</v>
      </c>
      <c r="G9" t="inlineStr">
        <is>
          <t>1.0%</t>
        </is>
      </c>
      <c r="H9" t="n">
        <v>99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51</v>
      </c>
      <c r="D10" t="n">
        <v>40800</v>
      </c>
      <c r="E10" t="n">
        <v>34700</v>
      </c>
      <c r="F10" t="n">
        <v>6100</v>
      </c>
      <c r="G10" t="inlineStr">
        <is>
          <t>15.0%</t>
        </is>
      </c>
      <c r="H10" t="n">
        <v>85</v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240</v>
      </c>
      <c r="D11" t="n">
        <v>216000</v>
      </c>
      <c r="E11" t="n">
        <v>211700</v>
      </c>
      <c r="F11" t="n">
        <v>4300</v>
      </c>
      <c r="G11" t="inlineStr">
        <is>
          <t>2.0%</t>
        </is>
      </c>
      <c r="H11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0-30 Days ($)</t>
        </is>
      </c>
      <c r="D1" t="inlineStr">
        <is>
          <t>31-60 Days ($)</t>
        </is>
      </c>
      <c r="E1" t="inlineStr">
        <is>
          <t>61-90 Days ($)</t>
        </is>
      </c>
      <c r="F1" t="inlineStr">
        <is>
          <t>90+ Days ($)</t>
        </is>
      </c>
      <c r="G1" t="inlineStr">
        <is>
          <t>Total WIP ($)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42000</v>
      </c>
      <c r="D2" t="n">
        <v>98500</v>
      </c>
      <c r="E2" t="n">
        <v>44000</v>
      </c>
      <c r="F2" t="n">
        <v>0</v>
      </c>
      <c r="G2" t="n">
        <v>184500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42750</v>
      </c>
      <c r="D3" t="n">
        <v>0</v>
      </c>
      <c r="E3" t="n">
        <v>0</v>
      </c>
      <c r="F3" t="n">
        <v>0</v>
      </c>
      <c r="G3" t="n">
        <v>42750</v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0</v>
      </c>
      <c r="D4" t="n">
        <v>4300</v>
      </c>
      <c r="E4" t="n">
        <v>9000</v>
      </c>
      <c r="F4" t="n">
        <v>8000</v>
      </c>
      <c r="G4" t="n">
        <v>21300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22000</v>
      </c>
      <c r="D5" t="n">
        <v>51800</v>
      </c>
      <c r="E5" t="n">
        <v>23000</v>
      </c>
      <c r="F5" t="n">
        <v>0</v>
      </c>
      <c r="G5" t="n">
        <v>96800</v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138900</v>
      </c>
      <c r="D6" t="n">
        <v>0</v>
      </c>
      <c r="E6" t="n">
        <v>0</v>
      </c>
      <c r="F6" t="n">
        <v>0</v>
      </c>
      <c r="G6" t="n">
        <v>138900</v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12000</v>
      </c>
      <c r="D7" t="n">
        <v>33200</v>
      </c>
      <c r="E7" t="n">
        <v>22000</v>
      </c>
      <c r="F7" t="n">
        <v>0</v>
      </c>
      <c r="G7" t="n">
        <v>67200</v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58400</v>
      </c>
      <c r="D8" t="n">
        <v>0</v>
      </c>
      <c r="E8" t="n">
        <v>0</v>
      </c>
      <c r="F8" t="n">
        <v>0</v>
      </c>
      <c r="G8" t="n">
        <v>58400</v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74600</v>
      </c>
      <c r="D9" t="n">
        <v>0</v>
      </c>
      <c r="E9" t="n">
        <v>0</v>
      </c>
      <c r="F9" t="n">
        <v>0</v>
      </c>
      <c r="G9" t="n">
        <v>74600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8500</v>
      </c>
      <c r="D10" t="n">
        <v>22100</v>
      </c>
      <c r="E10" t="n">
        <v>8500</v>
      </c>
      <c r="F10" t="n">
        <v>0</v>
      </c>
      <c r="G10" t="n">
        <v>39100</v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211000</v>
      </c>
      <c r="D11" t="n">
        <v>0</v>
      </c>
      <c r="E11" t="n">
        <v>0</v>
      </c>
      <c r="F11" t="n">
        <v>0</v>
      </c>
      <c r="G11" t="n">
        <v>211000</v>
      </c>
    </row>
    <row r="12">
      <c r="A12" t="inlineStr">
        <is>
          <t>Total</t>
        </is>
      </c>
      <c r="B12" t="inlineStr"/>
      <c r="C12" t="n">
        <v>610150</v>
      </c>
      <c r="D12" t="n">
        <v>209900</v>
      </c>
      <c r="E12" t="n">
        <v>106500</v>
      </c>
      <c r="F12" t="n">
        <v>8000</v>
      </c>
      <c r="G12">
        <f>SUM(C2:F11)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