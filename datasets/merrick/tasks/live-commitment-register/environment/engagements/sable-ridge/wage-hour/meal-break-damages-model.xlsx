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Core Exposure" sheetId="2" state="visible" r:id="rId2"/>
    <sheet xmlns:r="http://schemas.openxmlformats.org/officeDocument/2006/relationships" name="Sensitivity - Violation Rate" sheetId="3" state="visible" r:id="rId3"/>
    <sheet xmlns:r="http://schemas.openxmlformats.org/officeDocument/2006/relationships" name="Notes for RIF Follow-Up"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Variable</t>
        </is>
      </c>
      <c r="B1" t="inlineStr">
        <is>
          <t>Value</t>
        </is>
      </c>
      <c r="C1" t="inlineStr">
        <is>
          <t>Source/Note</t>
        </is>
      </c>
    </row>
    <row r="2">
      <c r="A2" t="inlineStr">
        <is>
          <t>Class period start</t>
        </is>
      </c>
      <c r="B2" t="inlineStr">
        <is>
          <t>2022-01-01</t>
        </is>
      </c>
      <c r="C2" t="inlineStr">
        <is>
          <t>3-year lookback from anticipated filing, FLSA + state</t>
        </is>
      </c>
    </row>
    <row r="3">
      <c r="A3" t="inlineStr">
        <is>
          <t>Class period end</t>
        </is>
      </c>
      <c r="B3" t="inlineStr">
        <is>
          <t>2025-06-30</t>
        </is>
      </c>
      <c r="C3" t="inlineStr">
        <is>
          <t>Anticipated notice date</t>
        </is>
      </c>
    </row>
    <row r="4">
      <c r="A4" t="inlineStr">
        <is>
          <t>Putative class size</t>
        </is>
      </c>
      <c r="B4" t="n">
        <v>214</v>
      </c>
      <c r="C4" t="inlineStr">
        <is>
          <t>HR headcount report, driver classification, active + separated — STILL PENDING UPDATE as of today: RIF list was confirmed on a prior call; trimmed roster has not yet been received. Do not treat as final.</t>
        </is>
      </c>
    </row>
    <row r="5">
      <c r="A5" t="inlineStr">
        <is>
          <t>Avg. weeks worked per class member</t>
        </is>
      </c>
      <c r="B5" t="n">
        <v>130</v>
      </c>
      <c r="C5" t="inlineStr">
        <is>
          <t>Derived from turnover data, per HR export</t>
        </is>
      </c>
    </row>
    <row r="6">
      <c r="A6" t="inlineStr">
        <is>
          <t>Violation rate (missed/short meal breaks)</t>
        </is>
      </c>
      <c r="B6" t="inlineStr">
        <is>
          <t>0.62</t>
        </is>
      </c>
      <c r="C6" t="inlineStr">
        <is>
          <t>Sample review of 30 drivers' time records, 8-week window</t>
        </is>
      </c>
    </row>
    <row r="7">
      <c r="A7" t="inlineStr">
        <is>
          <t>Avg. daily violations per workweek</t>
        </is>
      </c>
      <c r="B7" t="n">
        <v>2.1</v>
      </c>
      <c r="C7" t="inlineStr">
        <is>
          <t>From same 30-driver sample</t>
        </is>
      </c>
    </row>
    <row r="8">
      <c r="A8" t="inlineStr">
        <is>
          <t>Avg. hourly rate (blended)</t>
        </is>
      </c>
      <c r="B8" t="n">
        <v>24.75</v>
      </c>
      <c r="C8" t="inlineStr">
        <is>
          <t>Payroll data, class-wide average</t>
        </is>
      </c>
    </row>
    <row r="9">
      <c r="A9" t="inlineStr">
        <is>
          <t>Premium owed per violation (state law)</t>
        </is>
      </c>
      <c r="B9" t="n">
        <v>1</v>
      </c>
      <c r="C9" t="inlineStr">
        <is>
          <t>One hour of pay per missed/short meal period</t>
        </is>
      </c>
    </row>
    <row r="10">
      <c r="A10" t="inlineStr">
        <is>
          <t>Liquidated damages multiplier (FLSA willfulness, arguable)</t>
        </is>
      </c>
      <c r="B10" t="n">
        <v>2</v>
      </c>
      <c r="C10" t="inlineStr">
        <is>
          <t>Applies only if willfulness found; not conceded</t>
        </is>
      </c>
    </row>
    <row r="11">
      <c r="A11" t="inlineStr">
        <is>
          <t>Waiting-time penalty exposure (separated employees)</t>
        </is>
      </c>
      <c r="B11" t="inlineStr">
        <is>
          <t>Included below</t>
        </is>
      </c>
      <c r="C11" t="inlineStr">
        <is>
          <t>State Labor Code Section 203-type penalty, 30-day cap</t>
        </is>
      </c>
    </row>
    <row r="12">
      <c r="A12" t="inlineStr">
        <is>
          <t>Separated class members</t>
        </is>
      </c>
      <c r="B12" t="n">
        <v>58</v>
      </c>
      <c r="C12" t="inlineStr">
        <is>
          <t>Subset of 214, per HR export — will increase once RIF separations are added; do not treat as final</t>
        </is>
      </c>
    </row>
    <row r="13">
      <c r="A13" t="inlineStr">
        <is>
          <t>Avg. daily wage for waiting-time penalty</t>
        </is>
      </c>
      <c r="B13" t="n">
        <v>198</v>
      </c>
      <c r="C13" t="inlineStr">
        <is>
          <t>8 hrs x blended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Component</t>
        </is>
      </c>
      <c r="B1" t="inlineStr">
        <is>
          <t>Calculation</t>
        </is>
      </c>
      <c r="C1" t="inlineStr">
        <is>
          <t>Low Estimate</t>
        </is>
      </c>
      <c r="D1" t="inlineStr">
        <is>
          <t>Mid Estimate</t>
        </is>
      </c>
      <c r="E1" t="inlineStr">
        <is>
          <t>High Estimate</t>
        </is>
      </c>
    </row>
    <row r="2">
      <c r="A2" t="inlineStr">
        <is>
          <t>Total workweeks (class-wide)</t>
        </is>
      </c>
      <c r="B2" t="inlineStr">
        <is>
          <t>214 x 130</t>
        </is>
      </c>
      <c r="C2" t="n">
        <v>27820</v>
      </c>
      <c r="D2" t="n">
        <v>27820</v>
      </c>
      <c r="E2" t="n">
        <v>27820</v>
      </c>
    </row>
    <row r="3">
      <c r="A3" t="inlineStr">
        <is>
          <t>Violation-adjusted workweeks</t>
        </is>
      </c>
      <c r="B3" t="inlineStr">
        <is>
          <t>27820 x violation rate</t>
        </is>
      </c>
      <c r="C3">
        <f>B2*Assumptions!B5</f>
        <v/>
      </c>
      <c r="D3">
        <f>B2*Assumptions!B5</f>
        <v/>
      </c>
      <c r="E3">
        <f>B2*Assumptions!B5</f>
        <v/>
      </c>
    </row>
    <row r="4">
      <c r="A4" t="inlineStr">
        <is>
          <t>Total violations (workweeks x daily rate x 5 days)</t>
        </is>
      </c>
      <c r="B4" t="inlineStr">
        <is>
          <t>17248 x 2.1 x 5</t>
        </is>
      </c>
      <c r="C4" t="n">
        <v>120936</v>
      </c>
      <c r="D4" t="n">
        <v>181404</v>
      </c>
      <c r="E4" t="n">
        <v>241872</v>
      </c>
    </row>
    <row r="5">
      <c r="A5" t="inlineStr">
        <is>
          <t>Base premium exposure</t>
        </is>
      </c>
      <c r="B5" t="inlineStr">
        <is>
          <t>Violations x $1hr premium x hourly rate</t>
        </is>
      </c>
      <c r="C5">
        <f>C3*Assumptions!B8*Assumptions!B7</f>
        <v/>
      </c>
      <c r="D5">
        <f>D3*Assumptions!B8*Assumptions!B7</f>
        <v/>
      </c>
      <c r="E5">
        <f>E3*Assumptions!B8*Assumptions!B7</f>
        <v/>
      </c>
    </row>
    <row r="6">
      <c r="A6" t="inlineStr">
        <is>
          <t>Liquidated damages (if willfulness found — arguable)</t>
        </is>
      </c>
      <c r="B6" t="inlineStr">
        <is>
          <t>Base premium x multiplier</t>
        </is>
      </c>
      <c r="C6" t="n">
        <v>0</v>
      </c>
      <c r="D6">
        <f>D4*1.0</f>
        <v/>
      </c>
      <c r="E6">
        <f>E4*Assumptions!B9</f>
        <v/>
      </c>
    </row>
    <row r="7">
      <c r="A7" t="inlineStr">
        <is>
          <t>Waiting-time penalties</t>
        </is>
      </c>
      <c r="B7" t="inlineStr">
        <is>
          <t>58 employees x $198/day x up to 30 days — PENDING RIF UPDATE</t>
        </is>
      </c>
      <c r="C7" t="n">
        <v>574728</v>
      </c>
      <c r="D7" t="n">
        <v>861492</v>
      </c>
      <c r="E7" t="n">
        <v>1148256</v>
      </c>
    </row>
    <row r="8">
      <c r="A8" t="inlineStr">
        <is>
          <t>PAGA-type civil penalties (representative, if pled)</t>
        </is>
      </c>
      <c r="B8" t="inlineStr">
        <is>
          <t>Rough per-pay-period estimate, not yet modeled in detail</t>
        </is>
      </c>
      <c r="C8" t="n">
        <v>150000</v>
      </c>
      <c r="D8" t="n">
        <v>400000</v>
      </c>
      <c r="E8" t="n">
        <v>750000</v>
      </c>
    </row>
    <row r="9">
      <c r="A9" t="inlineStr">
        <is>
          <t>Attorneys' fees exposure (plaintiff-side, statutory)</t>
        </is>
      </c>
      <c r="B9" t="inlineStr">
        <is>
          <t>Historical range for comparable meal-break collectives, 25-40% of common fund</t>
        </is>
      </c>
      <c r="C9" t="n">
        <v>250000</v>
      </c>
      <c r="D9" t="n">
        <v>600000</v>
      </c>
      <c r="E9" t="n">
        <v>1200000</v>
      </c>
    </row>
    <row r="10">
      <c r="A10" t="inlineStr">
        <is>
          <t>TOTAL EXPOSURE (excl. defense costs)</t>
        </is>
      </c>
      <c r="B10" t="inlineStr">
        <is>
          <t>Sum of above</t>
        </is>
      </c>
      <c r="C10">
        <f>SUM(C4:C8)</f>
        <v/>
      </c>
      <c r="D10">
        <f>SUM(D4:D8)</f>
        <v/>
      </c>
      <c r="E10">
        <f>SUM(E4:E8)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Violation Rate</t>
        </is>
      </c>
      <c r="B1" t="inlineStr">
        <is>
          <t>Total Violations</t>
        </is>
      </c>
      <c r="C1" t="inlineStr">
        <is>
          <t>Base Premium Exposure</t>
        </is>
      </c>
      <c r="D1" t="inlineStr">
        <is>
          <t>Note</t>
        </is>
      </c>
    </row>
    <row r="2">
      <c r="A2" t="inlineStr">
        <is>
          <t>0.40</t>
        </is>
      </c>
      <c r="B2" t="n">
        <v>78176</v>
      </c>
      <c r="C2">
        <f>B2*Assumptions!B7</f>
        <v/>
      </c>
      <c r="D2" t="inlineStr">
        <is>
          <t>Floor — favorable sample reading</t>
        </is>
      </c>
    </row>
    <row r="3">
      <c r="A3" t="inlineStr">
        <is>
          <t>0.50</t>
        </is>
      </c>
      <c r="B3" t="n">
        <v>97720</v>
      </c>
      <c r="C3">
        <f>B3*Assumptions!B7</f>
        <v/>
      </c>
      <c r="D3" t="inlineStr"/>
    </row>
    <row r="4">
      <c r="A4" t="inlineStr">
        <is>
          <t>0.62</t>
        </is>
      </c>
      <c r="B4" t="n">
        <v>121053</v>
      </c>
      <c r="C4">
        <f>B4*Assumptions!B7</f>
        <v/>
      </c>
      <c r="D4" t="inlineStr">
        <is>
          <t>Current working assumption</t>
        </is>
      </c>
    </row>
    <row r="5">
      <c r="A5" t="inlineStr">
        <is>
          <t>0.75</t>
        </is>
      </c>
      <c r="B5" t="n">
        <v>146453</v>
      </c>
      <c r="C5">
        <f>B5*Assumptions!B7</f>
        <v/>
      </c>
      <c r="D5" t="inlineStr">
        <is>
          <t>Plaintiff-favorable reading of sample</t>
        </is>
      </c>
    </row>
    <row r="6">
      <c r="A6" t="inlineStr">
        <is>
          <t>0.85</t>
        </is>
      </c>
      <c r="B6" t="n">
        <v>165897</v>
      </c>
      <c r="C6">
        <f>B6*Assumptions!B7</f>
        <v/>
      </c>
      <c r="D6" t="inlineStr">
        <is>
          <t>Ceiling — assumes routine understaffing at all depots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Item</t>
        </is>
      </c>
    </row>
    <row r="2">
      <c r="A2" t="inlineStr">
        <is>
          <t>STATUS AS OF TODAY: no trimmed RIF roster has been received. This model still reflects the pre-RIF class size (214) and separated-count (58) and has NOT been re-run. Do not rely on Core Exposure figures until the Assumptions tab is refreshed with confirmed RIF numbers. Nothing in today's practice huddle changed this — flagging so it isn't mistaken for stale caution rather than current fact.</t>
        </is>
      </c>
    </row>
    <row r="3">
      <c r="A3" t="inlineStr">
        <is>
          <t>Once the trimmed RIF list is incorporated: class size and total-workweek figures in Assumptions will drop; separated-employee count (and therefore waiting-time penalty exposure) will rise, since RIF'd drivers become separated employees for Labor Code Section 203-type purposes. Both changes cut in opposite directions on total exposure — net effect needs to be modeled, not assumed.</t>
        </is>
      </c>
    </row>
    <row r="4">
      <c r="A4" t="inlineStr">
        <is>
          <t>Sample of 30 drivers is not yet statistically validated against the full 214-person roster. Recommend expanding sample to at least 15% of class (roughly 32 drivers) before this model is relied on for settlement authority. This remains outstanding and is unaffected by the RIF update. No expanded sample has been pulled as of today.</t>
        </is>
      </c>
    </row>
    <row r="5">
      <c r="A5" t="inlineStr">
        <is>
          <t>PAGA and fee-exposure lines are placeholders pending review of the complaint as drafted; do not cite these figures externally. Still open — no complaint review has occurred since last update.</t>
        </is>
      </c>
    </row>
    <row r="6">
      <c r="A6" t="inlineStr">
        <is>
          <t>Action items, unchanged: (1) re-run Assumptions tab against confirmed RIF list once trimmed roster is received; (2) expand sample size before citing violation rate externally; (3) review complaint before treating PAGA/fee lines as anything but placeholders. None of these can be closed out on today's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2026-08-22T22:02:11Z</dcterms:created>
  <dcterms:modified xmlns:dcterms="http://purl.org/dc/terms/" xmlns:xsi="http://www.w3.org/2001/XMLSchema-instance" xsi:type="dcterms:W3CDTF">2026-08-22T22:02:11Z</dcterms:modified>
</cp:coreProperties>
</file>