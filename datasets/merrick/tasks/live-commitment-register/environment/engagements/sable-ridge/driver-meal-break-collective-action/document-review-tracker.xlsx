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Tracker"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Batch ID</t>
        </is>
      </c>
      <c r="B1" t="inlineStr">
        <is>
          <t>Custodian</t>
        </is>
      </c>
      <c r="C1" t="inlineStr">
        <is>
          <t>Doc Count</t>
        </is>
      </c>
      <c r="D1" t="inlineStr">
        <is>
          <t>Date Range</t>
        </is>
      </c>
      <c r="E1" t="inlineStr">
        <is>
          <t>Review Status</t>
        </is>
      </c>
      <c r="F1" t="inlineStr">
        <is>
          <t>Reviewer</t>
        </is>
      </c>
      <c r="G1" t="inlineStr">
        <is>
          <t>Responsive</t>
        </is>
      </c>
      <c r="H1" t="inlineStr">
        <is>
          <t>Privileged</t>
        </is>
      </c>
      <c r="I1" t="inlineStr">
        <is>
          <t>Priv Log Entry Needed</t>
        </is>
      </c>
      <c r="J1" t="inlineStr">
        <is>
          <t>Notes</t>
        </is>
      </c>
    </row>
    <row r="2">
      <c r="A2" t="inlineStr">
        <is>
          <t>BATCH-001</t>
        </is>
      </c>
      <c r="B2" t="inlineStr">
        <is>
          <t>R. Alvarez (Regional Dispatch Mgr)</t>
        </is>
      </c>
      <c r="C2" t="n">
        <v>842</v>
      </c>
      <c r="D2" t="inlineStr">
        <is>
          <t>2022-01-01 to 2023-12-31</t>
        </is>
      </c>
      <c r="E2" t="inlineStr">
        <is>
          <t>Complete</t>
        </is>
      </c>
      <c r="F2" t="inlineStr">
        <is>
          <t>Q. Sarr</t>
        </is>
      </c>
      <c r="G2" t="inlineStr">
        <is>
          <t>Yes</t>
        </is>
      </c>
      <c r="H2" t="inlineStr">
        <is>
          <t>No</t>
        </is>
      </c>
      <c r="I2" t="inlineStr">
        <is>
          <t>No</t>
        </is>
      </c>
      <c r="J2" t="inlineStr">
        <is>
          <t>Dispatch logs and shift schedules; produced 2024-05-10 -- REVIEWER SIGN-OFF (F.D.): Production date and scope confirmed against tracker; no privilege issues raised. Approved as final.</t>
        </is>
      </c>
    </row>
    <row r="3">
      <c r="A3" t="inlineStr">
        <is>
          <t>BATCH-002</t>
        </is>
      </c>
      <c r="B3" t="inlineStr">
        <is>
          <t>R. Alvarez (Regional Dispatch Mgr)</t>
        </is>
      </c>
      <c r="C3" t="n">
        <v>213</v>
      </c>
      <c r="D3" t="inlineStr">
        <is>
          <t>2022-01-01 to 2023-12-31</t>
        </is>
      </c>
      <c r="E3" t="inlineStr">
        <is>
          <t>Complete</t>
        </is>
      </c>
      <c r="F3" t="inlineStr">
        <is>
          <t>Q. Sarr</t>
        </is>
      </c>
      <c r="G3" t="inlineStr">
        <is>
          <t>Yes</t>
        </is>
      </c>
      <c r="H3" t="inlineStr">
        <is>
          <t>Yes</t>
        </is>
      </c>
      <c r="I3" t="inlineStr">
        <is>
          <t>Yes</t>
        </is>
      </c>
      <c r="J3" t="inlineStr">
        <is>
          <t>Emails w/ in-house counsel re: meal-break policy revision -- REVIEWER SIGN-OFF (F.D.): Privilege call supported by description (counsel correspondence). Approved; confirm log entry drafted before production goes out.</t>
        </is>
      </c>
    </row>
    <row r="4">
      <c r="A4" t="inlineStr">
        <is>
          <t>BATCH-003</t>
        </is>
      </c>
      <c r="B4" t="inlineStr">
        <is>
          <t>M. Odell (HR Director)</t>
        </is>
      </c>
      <c r="C4" t="n">
        <v>1560</v>
      </c>
      <c r="D4" t="inlineStr">
        <is>
          <t>2021-06-01 to 2024-06-30</t>
        </is>
      </c>
      <c r="E4" t="inlineStr">
        <is>
          <t>Complete</t>
        </is>
      </c>
      <c r="F4" t="inlineStr">
        <is>
          <t>Q. Sarr</t>
        </is>
      </c>
      <c r="G4" t="inlineStr">
        <is>
          <t>Yes</t>
        </is>
      </c>
      <c r="H4" t="inlineStr">
        <is>
          <t>Yes</t>
        </is>
      </c>
      <c r="I4" t="inlineStr">
        <is>
          <t>Yes</t>
        </is>
      </c>
      <c r="J4" t="inlineStr">
        <is>
          <t>Personnel files and complaint intake records; review complete - responsive personnel complaint records and privileged HR/legal correspondence re: meal-break waiver policy identified -- REVIEWER NOTE (F.D.): 1,560 docs marked 'Complete' with no QC sample noted. Before I sign off, want confirmation of second-level privilege QC on this volume, particularly HR/legal correspondence -- the privileged bucket here is large relative to other batches. Not approved yet; flag for QC memo. FURTHER REVIEWER NOTE (E.V.-R.): Concur with F.D. No QC memo has been added to this record since the last review pass. Held, not approved -- do not release for production until second-level privilege QC on the HR/legal correspondence is documented in this tracker.</t>
        </is>
      </c>
    </row>
    <row r="5">
      <c r="A5" t="inlineStr">
        <is>
          <t>BATCH-004</t>
        </is>
      </c>
      <c r="B5" t="inlineStr">
        <is>
          <t>M. Odell (HR Director)</t>
        </is>
      </c>
      <c r="C5" t="n">
        <v>97</v>
      </c>
      <c r="D5" t="inlineStr">
        <is>
          <t>2023-01-01 to 2024-06-30</t>
        </is>
      </c>
      <c r="E5" t="inlineStr">
        <is>
          <t>In Progress</t>
        </is>
      </c>
      <c r="F5" t="inlineStr">
        <is>
          <t>Q. Sarr</t>
        </is>
      </c>
      <c r="G5" t="inlineStr">
        <is>
          <t>TBD</t>
        </is>
      </c>
      <c r="H5" t="inlineStr">
        <is>
          <t>TBD</t>
        </is>
      </c>
      <c r="I5" t="inlineStr">
        <is>
          <t>TBD</t>
        </is>
      </c>
      <c r="J5" t="inlineStr">
        <is>
          <t>HR investigation files flagged by search term 'meal break' + 'waiver'; review commenced following BATCH-003 completion; follow-up sent to M. Odell requesting confirmation on outstanding investigation file locations, response pending -- REVIEWER NOTE (F.D.): Responsive/privileged calls still TBD pending Odell's response -- appropriate to leave open, but this has been pending a while. FURTHER REVIEWER NOTE (F.D.): As of today, Odell has still not been reached despite repeated callback attempts; 'In Progress' should not be read as any indication of substantive completeness. Please chase Odell again today and escalate by end of day if no response -- give me a firm time. Call me if easier. FURTHER REVIEWER NOTE (E.V.-R.), today: No update in this record indicating Odell has been reached. Escalation deadline of end of day today stands. Please confirm callback time or escalate per F.D.'s instruction above.</t>
        </is>
      </c>
    </row>
    <row r="6">
      <c r="A6" t="inlineStr">
        <is>
          <t>BATCH-005</t>
        </is>
      </c>
      <c r="B6" t="inlineStr">
        <is>
          <t>T. Kowalczyk (Fleet Operations VP)</t>
        </is>
      </c>
      <c r="C6" t="n">
        <v>604</v>
      </c>
      <c r="D6" t="inlineStr">
        <is>
          <t>2020-01-01 to 2024-01-01</t>
        </is>
      </c>
      <c r="E6" t="inlineStr">
        <is>
          <t>Complete</t>
        </is>
      </c>
      <c r="F6" t="inlineStr">
        <is>
          <t>Q. Sarr</t>
        </is>
      </c>
      <c r="G6" t="inlineStr">
        <is>
          <t>Yes</t>
        </is>
      </c>
      <c r="H6" t="inlineStr">
        <is>
          <t>No</t>
        </is>
      </c>
      <c r="I6" t="inlineStr">
        <is>
          <t>No</t>
        </is>
      </c>
      <c r="J6" t="inlineStr">
        <is>
          <t>Route optimization software logs; produced 2024-05-10 -- REVIEWER SIGN-OFF (F.D.): Straightforward, non-privileged, produced. Approved as final.</t>
        </is>
      </c>
    </row>
    <row r="7">
      <c r="A7" t="inlineStr">
        <is>
          <t>BATCH-006</t>
        </is>
      </c>
      <c r="B7" t="inlineStr">
        <is>
          <t>T. Kowalczyk (Fleet Operations VP)</t>
        </is>
      </c>
      <c r="C7" t="n">
        <v>88</v>
      </c>
      <c r="D7" t="inlineStr">
        <is>
          <t>2020-01-01 to 2024-01-01</t>
        </is>
      </c>
      <c r="E7" t="inlineStr">
        <is>
          <t>Complete</t>
        </is>
      </c>
      <c r="F7" t="inlineStr">
        <is>
          <t>Q. Sarr</t>
        </is>
      </c>
      <c r="G7" t="inlineStr">
        <is>
          <t>No</t>
        </is>
      </c>
      <c r="H7" t="inlineStr">
        <is>
          <t>No</t>
        </is>
      </c>
      <c r="I7" t="inlineStr">
        <is>
          <t>No</t>
        </is>
      </c>
      <c r="J7" t="inlineStr">
        <is>
          <t>Non-responsive vendor invoices, excluded from production -- REVIEWER SIGN-OFF (F.D.): Non-responsiveness determination reasonable on description given (vendor invoices unrelated to meal-break claims). Approved.</t>
        </is>
      </c>
    </row>
    <row r="8">
      <c r="A8" t="inlineStr">
        <is>
          <t>BATCH-007</t>
        </is>
      </c>
      <c r="B8" t="inlineStr">
        <is>
          <t>Payroll Systems Export</t>
        </is>
      </c>
      <c r="C8" t="n">
        <v>3120</v>
      </c>
      <c r="D8" t="inlineStr">
        <is>
          <t>2021-01-01 to 2024-06-30</t>
        </is>
      </c>
      <c r="E8" t="inlineStr">
        <is>
          <t>Complete</t>
        </is>
      </c>
      <c r="F8" t="inlineStr">
        <is>
          <t>Q. Sarr</t>
        </is>
      </c>
      <c r="G8" t="inlineStr">
        <is>
          <t>Yes</t>
        </is>
      </c>
      <c r="H8" t="inlineStr">
        <is>
          <t>No</t>
        </is>
      </c>
      <c r="I8" t="inlineStr">
        <is>
          <t>No</t>
        </is>
      </c>
      <c r="J8" t="inlineStr">
        <is>
          <t>Timekeeping punch data; data-analytics vendor pull for meal-period gap analysis completed and reviewed -- REVIEWER NOTE (F.D.): 3,120 docs is our largest batch and the note doesn't say who validated the vendor's gap-analysis output against source data. Conclusion that this is fully 'reviewed' isn't supported yet without that validation step documented. Please add a line confirming QC of the vendor pull before I sign off. FURTHER REVIEWER NOTE (E.V.-R.): Agree with F.D.'s hold. No validation line has been added since. Given this is the largest batch in the set, the 'reviewed' conclusion in the notes should be read as provisional only until vendor-pull QC is documented here. Not approved yet.</t>
        </is>
      </c>
    </row>
    <row r="9">
      <c r="A9" t="inlineStr">
        <is>
          <t>BATCH-008</t>
        </is>
      </c>
      <c r="B9" t="inlineStr">
        <is>
          <t>S. Whitfield (Regional VP, West)</t>
        </is>
      </c>
      <c r="C9" t="n">
        <v>305</v>
      </c>
      <c r="D9" t="inlineStr">
        <is>
          <t>2022-01-01 to 2023-12-31</t>
        </is>
      </c>
      <c r="E9" t="inlineStr">
        <is>
          <t>In Progress</t>
        </is>
      </c>
      <c r="F9" t="inlineStr">
        <is>
          <t>Q. Sarr</t>
        </is>
      </c>
      <c r="G9" t="inlineStr">
        <is>
          <t>TBD</t>
        </is>
      </c>
      <c r="H9" t="inlineStr">
        <is>
          <t>TBD</t>
        </is>
      </c>
      <c r="I9" t="inlineStr">
        <is>
          <t>TBD</t>
        </is>
      </c>
      <c r="J9" t="inlineStr">
        <is>
          <t>Custodian added after 2024-06-14 deposition identified additional custodian; review underway; follow-up sent to S. Whitfield requesting collection scope confirmation, response pending -- REVIEWER NOTE (F.D.): Same open-item issue as BATCH-004 -- collection scope unconfirmed means we can't rely on completeness here. Leave as In Progress/TBD, appropriately, but let's get Whitfield's confirmation this week given the deposition trigger. FURTHER REVIEWER NOTE (F.D.): Following up again -- until Whitfield confirms scope, 'In Progress' should not be read to mean substantially complete; please note in the file that no completeness estimate can be given yet. FURTHER REVIEWER NOTE (F.D.), today: still no response from Whitfield despite repeated callback attempts. Escalate by end of day today if we haven't heard back -- please give me a firm time to expect a callback, or I will make the call myself. FURTHER REVIEWER NOTE (E.V.-R.), today: No scope confirmation has been logged. Escalation deadline of end of day today stands per F.D.'s instruction; if no callback time is confirmed, please advise so the call can be made.</t>
        </is>
      </c>
    </row>
    <row r="10">
      <c r="A10" t="inlineStr">
        <is>
          <t>BATCH-009</t>
        </is>
      </c>
      <c r="B10" t="inlineStr">
        <is>
          <t>General Counsel File</t>
        </is>
      </c>
      <c r="C10" t="n">
        <v>41</v>
      </c>
      <c r="D10" t="inlineStr">
        <is>
          <t>2019-01-01 to 2024-06-30</t>
        </is>
      </c>
      <c r="E10" t="inlineStr">
        <is>
          <t>Complete</t>
        </is>
      </c>
      <c r="F10" t="inlineStr">
        <is>
          <t>Q. Sarr</t>
        </is>
      </c>
      <c r="G10" t="inlineStr">
        <is>
          <t>Yes</t>
        </is>
      </c>
      <c r="H10" t="inlineStr">
        <is>
          <t>Yes</t>
        </is>
      </c>
      <c r="I10" t="inlineStr">
        <is>
          <t>Yes</t>
        </is>
      </c>
      <c r="J10" t="inlineStr">
        <is>
          <t>Policy drafts and legal review memos re: CA meal-break compliance -- REVIEWER SIGN-OFF (F.D.): Privilege call well-supported (policy/legal review memos). Approved; ensure log entries drafted before this leaves the building.</t>
        </is>
      </c>
    </row>
    <row r="11">
      <c r="A11" t="inlineStr">
        <is>
          <t>BATCH-010</t>
        </is>
      </c>
      <c r="B11" t="inlineStr">
        <is>
          <t>Driver Complaint Portal Export</t>
        </is>
      </c>
      <c r="C11" t="n">
        <v>276</v>
      </c>
      <c r="D11" t="inlineStr">
        <is>
          <t>2022-03-01 to 2024-06-30</t>
        </is>
      </c>
      <c r="E11" t="inlineStr">
        <is>
          <t>Complete</t>
        </is>
      </c>
      <c r="F11" t="inlineStr">
        <is>
          <t>Q. Sarr</t>
        </is>
      </c>
      <c r="G11" t="inlineStr">
        <is>
          <t>Yes</t>
        </is>
      </c>
      <c r="H11" t="inlineStr">
        <is>
          <t>No</t>
        </is>
      </c>
      <c r="I11" t="inlineStr">
        <is>
          <t>No</t>
        </is>
      </c>
      <c r="J11" t="inlineStr">
        <is>
          <t>Class member complaint narratives; cross-referencing against opt-in list complete -- REVIEWER SIGN-OFF (F.D.): Cross-reference confirmed complete per notes. Approved as final.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Total Batches</t>
        </is>
      </c>
      <c r="B2" t="n">
        <v>10</v>
      </c>
    </row>
    <row r="3">
      <c r="A3" t="inlineStr">
        <is>
          <t>Total Documents</t>
        </is>
      </c>
      <c r="B3">
        <f>SUM('Review Tracker'!C2:C11)</f>
        <v/>
      </c>
    </row>
    <row r="4">
      <c r="A4" t="inlineStr">
        <is>
          <t>Batches Complete</t>
        </is>
      </c>
      <c r="B4">
        <f>COUNTIF('Review Tracker'!E2:E11,"Complete")</f>
        <v/>
      </c>
    </row>
    <row r="5">
      <c r="A5" t="inlineStr">
        <is>
          <t>Batches In Progress</t>
        </is>
      </c>
      <c r="B5">
        <f>COUNTIF('Review Tracker'!E2:E11,"In Progress")</f>
        <v/>
      </c>
    </row>
    <row r="6">
      <c r="A6" t="inlineStr">
        <is>
          <t>Batches Not Started</t>
        </is>
      </c>
      <c r="B6">
        <f>COUNTIF('Review Tracker'!E2:E11,"Not Started")</f>
        <v/>
      </c>
    </row>
    <row r="7">
      <c r="A7" t="inlineStr">
        <is>
          <t>Privilege Log Entries Needed</t>
        </is>
      </c>
      <c r="B7">
        <f>COUNTIF('Review Tracker'!I2:I11,"Yes")</f>
        <v/>
      </c>
    </row>
    <row r="8">
      <c r="A8" t="inlineStr">
        <is>
          <t>Unassigned Batches</t>
        </is>
      </c>
      <c r="B8">
        <f>COUNTIF('Review Tracker'!F2:F11,"Unassigned")</f>
        <v/>
      </c>
    </row>
    <row r="9">
      <c r="A9" t="inlineStr">
        <is>
          <t>Reviewer Sign-Off Status</t>
        </is>
      </c>
      <c r="B9" t="inlineStr">
        <is>
          <t>F. Doherty reviewed 2024-06 -- 6 of 10 batches approved as final (001, 002, 005, 006, 009, 010); BATCH-003 and BATCH-007 held pending QC confirmation; BATCH-004 and BATCH-008 remain open -- as of today, neither Odell nor Whitfield has been reached despite repeated callback attempts, so no completeness estimate can be assumed on either. Escalate both by end of day today if no response is received. Call me if easier. FURTHER REVIEWER NOTE (E.V.-R.), today: Reviewed the tracker against F.D.'s prior notes. The 6 approved batches (001, 002, 005, 006, 009, 010) stand as final; nothing in the record calls those conclusions into question. BATCH-003 and BATCH-007 remain held -- no QC memo or vendor-pull validation has been added since F.D.'s notes were written, so those two stay open pending documentation, not approved on the current record. BATCH-004 and BATCH-008 remain open; per Rule 26(g)/(e) considerations on completeness of discovery responses, we should not certify or represent either custodian's production as complete until scope/response is confirmed. Escalation deadline of end of day today stands for both Odell and Whitfield. FURTHER REVIEWER NOTE (E.V.-R.), today (second pass): No change to the record since my note above -- Odell and Whitfield confirmations are still outstanding, and no QC memo or vendor-pull validation has been logged for BATCH-003 or BATCH-007. Today's escalation deadline has now passed without documented resolution on either open custodian. Status stands: 6 approved as final, 2 held pending documentation, 2 open pending custodian confirmation; escalate per F.D.'s instruction if callback times are not confirmed by close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2026-08-22T22:45:11Z</dcterms:created>
  <dcterms:modified xmlns:dcterms="http://purl.org/dc/terms/" xmlns:xsi="http://www.w3.org/2001/XMLSchema-instance" xsi:type="dcterms:W3CDTF">2026-08-22T22:45:11Z</dcterms:modified>
</cp:coreProperties>
</file>