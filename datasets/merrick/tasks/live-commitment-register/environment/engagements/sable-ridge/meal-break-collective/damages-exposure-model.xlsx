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Core Exposure" sheetId="2" state="visible" r:id="rId2"/>
    <sheet xmlns:r="http://schemas.openxmlformats.org/officeDocument/2006/relationships" name="PAGA-style Penalty Overlay" sheetId="3" state="visible" r:id="rId3"/>
    <sheet xmlns:r="http://schemas.openxmlformats.org/officeDocument/2006/relationships" name="Combined Scenario Summary" sheetId="4" state="visible" r:id="rId4"/>
    <sheet xmlns:r="http://schemas.openxmlformats.org/officeDocument/2006/relationships" name="Notes for Reviewer"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Input</t>
        </is>
      </c>
      <c r="B1" t="inlineStr">
        <is>
          <t>Value</t>
        </is>
      </c>
      <c r="C1" t="inlineStr">
        <is>
          <t>Source / Note</t>
        </is>
      </c>
    </row>
    <row r="2">
      <c r="A2" t="inlineStr">
        <is>
          <t>Class period start</t>
        </is>
      </c>
      <c r="B2" t="inlineStr">
        <is>
          <t>2021-06-01</t>
        </is>
      </c>
      <c r="C2" t="inlineStr">
        <is>
          <t>3-yr lookback from anticipated filing date under applicable statute</t>
        </is>
      </c>
    </row>
    <row r="3">
      <c r="A3" t="inlineStr">
        <is>
          <t>Class period end</t>
        </is>
      </c>
      <c r="B3" t="inlineStr">
        <is>
          <t>2024-12-31</t>
        </is>
      </c>
      <c r="C3" t="inlineStr">
        <is>
          <t>Conditional certification cutoff, subject to court order</t>
        </is>
      </c>
    </row>
    <row r="4">
      <c r="A4" t="inlineStr">
        <is>
          <t>Putative class size</t>
        </is>
      </c>
      <c r="B4" t="n">
        <v>214</v>
      </c>
      <c r="C4" t="inlineStr">
        <is>
          <t>Driver roster pull, per HR headcount export - unaudited; per-diem/seasonal driver exclusion still under review. Audit request to HR remains outstanding as of this review cycle - no return date given; needs direct follow-up.</t>
        </is>
      </c>
    </row>
    <row r="5">
      <c r="A5" t="inlineStr">
        <is>
          <t>Average hourly rate</t>
        </is>
      </c>
      <c r="B5" t="n">
        <v>22.75</v>
      </c>
      <c r="C5" t="inlineStr">
        <is>
          <t>Payroll data, blended across class</t>
        </is>
      </c>
    </row>
    <row r="6">
      <c r="A6" t="inlineStr">
        <is>
          <t>Avg missed meal breaks per driver per week</t>
        </is>
      </c>
      <c r="B6" t="n">
        <v>1.8</v>
      </c>
      <c r="C6" t="inlineStr">
        <is>
          <t>Plaintiff counsel's allegation. Partial telematics/time-and-attendance sample now received for one depot (approx. 15% of class); preliminary review suggests actual rate may run lower, but sample is too small to substitute for the pleaded figure. Retained 1.8 as the modeling input pending full data set. No additional depot data has come in since last review.</t>
        </is>
      </c>
    </row>
    <row r="7">
      <c r="A7" t="inlineStr">
        <is>
          <t>Weeks worked per driver per year (avg)</t>
        </is>
      </c>
      <c r="B7" t="n">
        <v>47</v>
      </c>
      <c r="C7" t="inlineStr">
        <is>
          <t>Payroll data, net of leave</t>
        </is>
      </c>
    </row>
    <row r="8">
      <c r="A8" t="inlineStr">
        <is>
          <t>Premium owed per missed break</t>
        </is>
      </c>
      <c r="B8" t="n">
        <v>22.75</v>
      </c>
      <c r="C8" t="inlineStr">
        <is>
          <t>One hour of pay at regular rate, per state meal-break premium statute</t>
        </is>
      </c>
    </row>
    <row r="9">
      <c r="A9" t="inlineStr">
        <is>
          <t>Liquidated damages multiplier - low scenario</t>
        </is>
      </c>
      <c r="B9" t="n">
        <v>1</v>
      </c>
      <c r="C9" t="inlineStr">
        <is>
          <t>No liquidated damages awarded</t>
        </is>
      </c>
    </row>
    <row r="10">
      <c r="A10" t="inlineStr">
        <is>
          <t>Liquidated damages multiplier - mid scenario</t>
        </is>
      </c>
      <c r="B10" t="n">
        <v>1.5</v>
      </c>
      <c r="C10" t="inlineStr">
        <is>
          <t>Partial willfulness finding</t>
        </is>
      </c>
    </row>
    <row r="11">
      <c r="A11" t="inlineStr">
        <is>
          <t>Liquidated damages multiplier - high scenario</t>
        </is>
      </c>
      <c r="B11" t="n">
        <v>2</v>
      </c>
      <c r="C11" t="inlineStr">
        <is>
          <t>Full willfulness / bad-faith finding</t>
        </is>
      </c>
    </row>
    <row r="12">
      <c r="A12" t="inlineStr">
        <is>
          <t>PAGA-style penalty per pay period (if applicable) - initial</t>
        </is>
      </c>
      <c r="B12" t="n">
        <v>100</v>
      </c>
      <c r="C12" t="inlineStr">
        <is>
          <t>Statutory default, first violation</t>
        </is>
      </c>
    </row>
    <row r="13">
      <c r="A13" t="inlineStr">
        <is>
          <t>PAGA-style penalty per pay period (if applicable) - subsequent</t>
        </is>
      </c>
      <c r="B13" t="n">
        <v>200</v>
      </c>
      <c r="C13" t="inlineStr">
        <is>
          <t>Statutory default, subsequent violations</t>
        </is>
      </c>
    </row>
    <row r="14">
      <c r="A14" t="inlineStr">
        <is>
          <t>Pay periods per year</t>
        </is>
      </c>
      <c r="B14" t="n">
        <v>26</v>
      </c>
      <c r="C14" t="inlineStr">
        <is>
          <t>Biweekly payroll cycle</t>
        </is>
      </c>
    </row>
    <row r="15">
      <c r="A15" t="inlineStr">
        <is>
          <t>Single-depot headcount share (for decertification sensitivity)</t>
        </is>
      </c>
      <c r="B15" t="n">
        <v>0.15</v>
      </c>
      <c r="C15" t="inlineStr">
        <is>
          <t>Approximate share of putative class attributable to the depot with partial time-and-attendance data; used only for the sensitivity check on the Notes tab, not yet built into Core Exposure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Scenario</t>
        </is>
      </c>
      <c r="B1" t="inlineStr">
        <is>
          <t>Class Size</t>
        </is>
      </c>
      <c r="C1" t="inlineStr">
        <is>
          <t>Weeks in Period</t>
        </is>
      </c>
      <c r="D1" t="inlineStr">
        <is>
          <t>Missed Breaks/Wk</t>
        </is>
      </c>
      <c r="E1" t="inlineStr">
        <is>
          <t>Premium/Break</t>
        </is>
      </c>
      <c r="F1" t="inlineStr">
        <is>
          <t>Base Exposure</t>
        </is>
      </c>
      <c r="G1" t="inlineStr">
        <is>
          <t>LD Multiplier</t>
        </is>
      </c>
      <c r="H1" t="inlineStr">
        <is>
          <t>Total Exposure</t>
        </is>
      </c>
    </row>
    <row r="2">
      <c r="A2" t="inlineStr">
        <is>
          <t>Low</t>
        </is>
      </c>
      <c r="B2" t="n">
        <v>214</v>
      </c>
      <c r="C2">
        <f>47*3.58</f>
        <v/>
      </c>
      <c r="D2" t="n">
        <v>1.8</v>
      </c>
      <c r="E2" t="n">
        <v>22.75</v>
      </c>
      <c r="F2">
        <f>B2*C2*D2*E2</f>
        <v/>
      </c>
      <c r="G2" t="n">
        <v>1</v>
      </c>
      <c r="H2">
        <f>F2*G2</f>
        <v/>
      </c>
    </row>
    <row r="3">
      <c r="A3" t="inlineStr">
        <is>
          <t>Mid</t>
        </is>
      </c>
      <c r="B3" t="n">
        <v>214</v>
      </c>
      <c r="C3">
        <f>47*3.58</f>
        <v/>
      </c>
      <c r="D3" t="n">
        <v>1.8</v>
      </c>
      <c r="E3" t="n">
        <v>22.75</v>
      </c>
      <c r="F3">
        <f>B3*C3*D3*E3</f>
        <v/>
      </c>
      <c r="G3" t="n">
        <v>1.5</v>
      </c>
      <c r="H3">
        <f>F3*G3</f>
        <v/>
      </c>
    </row>
    <row r="4">
      <c r="A4" t="inlineStr">
        <is>
          <t>High</t>
        </is>
      </c>
      <c r="B4" t="n">
        <v>214</v>
      </c>
      <c r="C4">
        <f>47*3.58</f>
        <v/>
      </c>
      <c r="D4" t="n">
        <v>1.8</v>
      </c>
      <c r="E4" t="n">
        <v>22.75</v>
      </c>
      <c r="F4">
        <f>B4*C4*D4*E4</f>
        <v/>
      </c>
      <c r="G4" t="n">
        <v>2</v>
      </c>
      <c r="H4">
        <f>F4*G4</f>
        <v/>
      </c>
    </row>
    <row r="5">
      <c r="A5" t="inlineStr">
        <is>
          <t>Low - single depot sensitivity (if class narrowed)</t>
        </is>
      </c>
      <c r="B5">
        <f>214*0.15</f>
        <v/>
      </c>
      <c r="C5">
        <f>47*3.58</f>
        <v/>
      </c>
      <c r="D5" t="n">
        <v>1.8</v>
      </c>
      <c r="E5" t="n">
        <v>22.75</v>
      </c>
      <c r="F5">
        <f>B5*C5*D5*E5</f>
        <v/>
      </c>
      <c r="G5" t="n">
        <v>1</v>
      </c>
      <c r="H5">
        <f>F5*G5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Scenario</t>
        </is>
      </c>
      <c r="B1" t="inlineStr">
        <is>
          <t>Pay Periods (3.5 yrs)</t>
        </is>
      </c>
      <c r="C1" t="inlineStr">
        <is>
          <t>Class Size</t>
        </is>
      </c>
      <c r="D1" t="inlineStr">
        <is>
          <t>Initial Penalty</t>
        </is>
      </c>
      <c r="E1" t="inlineStr">
        <is>
          <t>Subsequent Penalty</t>
        </is>
      </c>
      <c r="F1" t="inlineStr">
        <is>
          <t>Penalty Exposure</t>
        </is>
      </c>
      <c r="G1" t="inlineStr">
        <is>
          <t>Notes</t>
        </is>
      </c>
    </row>
    <row r="2">
      <c r="A2" t="inlineStr">
        <is>
          <t>Conservative (initial only, no stacking)</t>
        </is>
      </c>
      <c r="B2" t="n">
        <v>91</v>
      </c>
      <c r="C2" t="n">
        <v>214</v>
      </c>
      <c r="D2" t="n">
        <v>100</v>
      </c>
      <c r="E2" t="n">
        <v>0</v>
      </c>
      <c r="F2">
        <f>B2*C2*D2</f>
        <v/>
      </c>
      <c r="G2" t="inlineStr">
        <is>
          <t>Assumes court treats each period as a first violation; unlikely but bounds the floor</t>
        </is>
      </c>
    </row>
    <row r="3">
      <c r="A3" t="inlineStr">
        <is>
          <t>Aggressive (subsequent from period 2 on)</t>
        </is>
      </c>
      <c r="B3" t="n">
        <v>91</v>
      </c>
      <c r="C3" t="n">
        <v>214</v>
      </c>
      <c r="D3" t="n">
        <v>100</v>
      </c>
      <c r="E3" t="n">
        <v>200</v>
      </c>
      <c r="F3">
        <f>(D3*C3)+((B3-1)*C3*E3)</f>
        <v/>
      </c>
      <c r="G3" t="inlineStr">
        <is>
          <t>Matches plaintiff's likely pleading theory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Scenario</t>
        </is>
      </c>
      <c r="B1" t="inlineStr">
        <is>
          <t>Meal-Break Exposure</t>
        </is>
      </c>
      <c r="C1" t="inlineStr">
        <is>
          <t>Penalty Overlay (Low/High)</t>
        </is>
      </c>
      <c r="D1" t="inlineStr">
        <is>
          <t>Combined Low</t>
        </is>
      </c>
      <c r="E1" t="inlineStr">
        <is>
          <t>Combined High</t>
        </is>
      </c>
    </row>
    <row r="2">
      <c r="A2" t="inlineStr">
        <is>
          <t>Low / Conservative</t>
        </is>
      </c>
      <c r="B2">
        <f>'Core Exposure'!H2</f>
        <v/>
      </c>
      <c r="C2">
        <f>'PAGA-style Penalty Overlay'!F2</f>
        <v/>
      </c>
      <c r="D2">
        <f>B2+C2</f>
        <v/>
      </c>
      <c r="E2">
        <f>B2+'PAGA-style Penalty Overlay'!F3</f>
        <v/>
      </c>
    </row>
    <row r="3">
      <c r="A3" t="inlineStr">
        <is>
          <t>Mid</t>
        </is>
      </c>
      <c r="B3">
        <f>'Core Exposure'!H3</f>
        <v/>
      </c>
      <c r="C3">
        <f>'PAGA-style Penalty Overlay'!F2</f>
        <v/>
      </c>
      <c r="D3">
        <f>B3+C3</f>
        <v/>
      </c>
      <c r="E3">
        <f>B3+'PAGA-style Penalty Overlay'!F3</f>
        <v/>
      </c>
    </row>
    <row r="4">
      <c r="A4" t="inlineStr">
        <is>
          <t>High / Aggressive</t>
        </is>
      </c>
      <c r="B4">
        <f>'Core Exposure'!H4</f>
        <v/>
      </c>
      <c r="C4">
        <f>'PAGA-style Penalty Overlay'!F3</f>
        <v/>
      </c>
      <c r="D4">
        <f>B4+C4</f>
        <v/>
      </c>
      <c r="E4">
        <f>B4+'PAGA-style Penalty Overlay'!F3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Item</t>
        </is>
      </c>
      <c r="B1" t="inlineStr">
        <is>
          <t>Detail</t>
        </is>
      </c>
    </row>
    <row r="2">
      <c r="A2" t="inlineStr">
        <is>
          <t>Class size</t>
        </is>
      </c>
      <c r="B2" t="inlineStr">
        <is>
          <t>Roster pull is unaudited. Arguably overstates the class if per-diem and seasonal drivers are excluded on a motion for decertification. HR audit request remains outstanding as of this review cycle, with no return date given. Escalating to a direct follow-up with HR rather than a further passive request - action item for next cycle.</t>
        </is>
      </c>
    </row>
    <row r="3">
      <c r="A3" t="inlineStr">
        <is>
          <t>Missed-break rate</t>
        </is>
      </c>
      <c r="B3" t="inlineStr">
        <is>
          <t>1.8/week remains plaintiff's number, taken from the complaint. We still have only the one partial time-and-attendance sample (one depot, ~15% of class), which arguably runs lower than the pleaded rate, but the sample is too thin to justify replacing the model input. No additional depots have reported data since the last cycle. Treat every output on this tab as a ceiling, not a forecast, until the full data set is in.</t>
        </is>
      </c>
    </row>
    <row r="4">
      <c r="A4" t="inlineStr">
        <is>
          <t>Conditional certification</t>
        </is>
      </c>
      <c r="B4" t="inlineStr">
        <is>
          <t>Model assumes the class as pled survives conditional certification intact. Single-depot sensitivity row on the Core Exposure tab still reflects the ~15% headcount share for the depot with data in hand; this remains illustrative only and not a substitute for a full depot-by-depot breakdown, which we still do not have.</t>
        </is>
      </c>
    </row>
    <row r="5">
      <c r="A5" t="inlineStr">
        <is>
          <t>Willfulness</t>
        </is>
      </c>
      <c r="B5" t="inlineStr">
        <is>
          <t>Mid scenario remains our working assumption for reserve purposes. Review of the timekeeping policy history is ongoing; no findings yet, and no change to the willfulness assumption pending that review.</t>
        </is>
      </c>
    </row>
    <row r="6">
      <c r="A6" t="inlineStr">
        <is>
          <t>Status</t>
        </is>
      </c>
      <c r="B6" t="inlineStr">
        <is>
          <t>Reviewed at the employment practice huddle; no substantive change to the underlying data since the last cycle. No changes to scenario structure or formulas. Open items - HR roster audit (now flagged for direct follow-up) and depot-by-depot data (still outstanding, no new depots reporting) - carry forward to the next revision. Model outputs should continue to be read as ceilings pending resolution of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2026-08-22T22:45:15Z</dcterms:created>
  <dcterms:modified xmlns:dcterms="http://purl.org/dc/terms/" xmlns:xsi="http://www.w3.org/2001/XMLSchema-instance" xsi:type="dcterms:W3CDTF">2026-08-22T22:45:15Z</dcterms:modified>
</cp:coreProperties>
</file>