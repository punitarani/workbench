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cenario A - Base Exposure" sheetId="2" state="visible" r:id="rId2"/>
    <sheet xmlns:r="http://schemas.openxmlformats.org/officeDocument/2006/relationships" name="Scenario B - Willful-Liquidated" sheetId="3" state="visible" r:id="rId3"/>
    <sheet xmlns:r="http://schemas.openxmlformats.org/officeDocument/2006/relationships" name="Sensitivity - Class Size and Vi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Value</t>
        </is>
      </c>
      <c r="C1" t="inlineStr">
        <is>
          <t>Source/Notes</t>
        </is>
      </c>
    </row>
    <row r="2">
      <c r="A2" t="inlineStr">
        <is>
          <t>Class period start</t>
        </is>
      </c>
      <c r="B2" t="inlineStr">
        <is>
          <t>2022-01-01</t>
        </is>
      </c>
      <c r="C2" t="inlineStr">
        <is>
          <t>3-year lookback from anticipated filing date</t>
        </is>
      </c>
    </row>
    <row r="3">
      <c r="A3" t="inlineStr">
        <is>
          <t>Class period end</t>
        </is>
      </c>
      <c r="B3" t="inlineStr">
        <is>
          <t>2025-06-30</t>
        </is>
      </c>
      <c r="C3" t="inlineStr">
        <is>
          <t>Conditional certification cutoff (est.)</t>
        </is>
      </c>
    </row>
    <row r="4">
      <c r="A4" t="inlineStr">
        <is>
          <t>Putative class size</t>
        </is>
      </c>
      <c r="B4" t="n">
        <v>214</v>
      </c>
      <c r="C4" t="inlineStr">
        <is>
          <t>HR headcount report, driver classification, active + separated</t>
        </is>
      </c>
    </row>
    <row r="5">
      <c r="A5" t="inlineStr">
        <is>
          <t>Avg. hourly rate</t>
        </is>
      </c>
      <c r="B5" t="n">
        <v>24.75</v>
      </c>
      <c r="C5" t="inlineStr">
        <is>
          <t>Payroll data export, class-wide mean</t>
        </is>
      </c>
    </row>
    <row r="6">
      <c r="A6" t="inlineStr">
        <is>
          <t>Avg. missed/short meal breaks per week</t>
        </is>
      </c>
      <c r="B6" t="n">
        <v>2.1</v>
      </c>
      <c r="C6" t="inlineStr">
        <is>
          <t>Plaintiff-side survey sample, n=18 (unverified)</t>
        </is>
      </c>
    </row>
    <row r="7">
      <c r="A7" t="inlineStr">
        <is>
          <t>Weeks worked per year (avg.)</t>
        </is>
      </c>
      <c r="B7" t="n">
        <v>46</v>
      </c>
      <c r="C7" t="inlineStr">
        <is>
          <t>Payroll data, excludes leave</t>
        </is>
      </c>
    </row>
    <row r="8">
      <c r="A8" t="inlineStr">
        <is>
          <t>Premium owed per violation</t>
        </is>
      </c>
      <c r="B8" t="n">
        <v>1</v>
      </c>
      <c r="C8" t="inlineStr">
        <is>
          <t>Cal. Lab. Code 226.7 — one additional hour of pay</t>
        </is>
      </c>
    </row>
    <row r="9">
      <c r="A9" t="inlineStr">
        <is>
          <t>Liquidated damages multiplier (if applicable)</t>
        </is>
      </c>
      <c r="B9" t="n">
        <v>0</v>
      </c>
      <c r="C9" t="inlineStr">
        <is>
          <t>Not currently pled; placeholder for scenario B</t>
        </is>
      </c>
    </row>
    <row r="10">
      <c r="A10" t="inlineStr">
        <is>
          <t>Waiting-time penalty per separated employee (avg. days)</t>
        </is>
      </c>
      <c r="B10" t="n">
        <v>30</v>
      </c>
      <c r="C10" t="inlineStr">
        <is>
          <t>Lab. Code 203 cap, avg. daily wage basis</t>
        </is>
      </c>
    </row>
    <row r="11">
      <c r="A11" t="inlineStr">
        <is>
          <t>Separated class members</t>
        </is>
      </c>
      <c r="B11" t="n">
        <v>61</v>
      </c>
      <c r="C11" t="inlineStr">
        <is>
          <t>Subset of 214, terminated/resigned in period</t>
        </is>
      </c>
    </row>
    <row r="12">
      <c r="A12" t="inlineStr">
        <is>
          <t>PAGA per-violation penalty (initial)</t>
        </is>
      </c>
      <c r="B12" t="n">
        <v>100</v>
      </c>
      <c r="C12" t="inlineStr">
        <is>
          <t>Lab. Code 2699 default</t>
        </is>
      </c>
    </row>
    <row r="13">
      <c r="A13" t="inlineStr">
        <is>
          <t>PAGA per-violation penalty (subsequent)</t>
        </is>
      </c>
      <c r="B13" t="n">
        <v>200</v>
      </c>
      <c r="C13" t="inlineStr">
        <is>
          <t>Lab. Code 2699 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Calculation</t>
        </is>
      </c>
      <c r="C1" t="inlineStr">
        <is>
          <t>Amount ($)</t>
        </is>
      </c>
    </row>
    <row r="2">
      <c r="A2" t="inlineStr">
        <is>
          <t>Meal premium liability</t>
        </is>
      </c>
      <c r="B2">
        <f>Assumptions!B3*Assumptions!B5*Assumptions!B6*Assumptions!B4</f>
        <v/>
      </c>
    </row>
    <row r="3">
      <c r="A3" t="inlineStr">
        <is>
          <t>Waiting-time penalties</t>
        </is>
      </c>
      <c r="B3">
        <f>Assumptions!B10*Assumptions!B9*(Assumptions!B4*8)</f>
        <v/>
      </c>
    </row>
    <row r="4">
      <c r="A4" t="inlineStr">
        <is>
          <t>Subtotal, wage claims</t>
        </is>
      </c>
      <c r="B4">
        <f>SUM(C2:C3)</f>
        <v/>
      </c>
    </row>
    <row r="5">
      <c r="A5" t="inlineStr">
        <is>
          <t>PAGA penalty estimate (1 pay period/week, 75% subsequent-rate)</t>
        </is>
      </c>
      <c r="B5">
        <f>Assumptions!B3*52*((0.25*Assumptions!B11)+(0.75*Assumptions!B12))</f>
        <v/>
      </c>
    </row>
    <row r="6">
      <c r="A6" t="inlineStr">
        <is>
          <t>Total estimated exposure, Scenario A</t>
        </is>
      </c>
      <c r="B6">
        <f>C4+C5</f>
        <v/>
      </c>
    </row>
    <row r="7">
      <c r="A7" t="inlineStr">
        <is>
          <t>Attorneys' fees exposure (Plaintiff, est. 25-33% of common fund)</t>
        </is>
      </c>
      <c r="B7" t="inlineStr">
        <is>
          <t>Not modeled — fee-shifting statute, not percentage-of-fund; see memo</t>
        </is>
      </c>
      <c r="C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Calculation</t>
        </is>
      </c>
      <c r="C1" t="inlineStr">
        <is>
          <t>Amount ($)</t>
        </is>
      </c>
    </row>
    <row r="2">
      <c r="A2" t="inlineStr">
        <is>
          <t>Base exposure (from Scenario A)</t>
        </is>
      </c>
      <c r="B2">
        <f>'Scenario A - Base Exposure'!C6</f>
        <v/>
      </c>
    </row>
    <row r="3">
      <c r="A3" t="inlineStr">
        <is>
          <t>Liquidated damages add-on (if 226.7 found willful, unresolved circuit split)</t>
        </is>
      </c>
      <c r="B3">
        <f>'Scenario A - Base Exposure'!C4*1</f>
        <v/>
      </c>
    </row>
    <row r="4">
      <c r="A4" t="inlineStr">
        <is>
          <t>Total estimated exposure, Scenario B</t>
        </is>
      </c>
      <c r="B4">
        <f>C2+C3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Violation rate (per week)</t>
        </is>
      </c>
      <c r="B1" t="inlineStr">
        <is>
          <t>Class size 150</t>
        </is>
      </c>
      <c r="C1" t="inlineStr">
        <is>
          <t>Class size 214</t>
        </is>
      </c>
      <c r="D1" t="inlineStr">
        <is>
          <t>Class size 280</t>
        </is>
      </c>
    </row>
    <row r="2">
      <c r="A2" t="inlineStr">
        <is>
          <t>1.0</t>
        </is>
      </c>
      <c r="B2">
        <f>150*1.0*46*Assumptions!$B$4</f>
        <v/>
      </c>
      <c r="C2">
        <f>214*1.0*46*Assumptions!$B$4</f>
        <v/>
      </c>
      <c r="D2">
        <f>280*1.0*46*Assumptions!$B$4</f>
        <v/>
      </c>
    </row>
    <row r="3">
      <c r="A3" t="inlineStr">
        <is>
          <t>2.1</t>
        </is>
      </c>
      <c r="B3">
        <f>150*2.1*46*Assumptions!$B$4</f>
        <v/>
      </c>
      <c r="C3">
        <f>214*2.1*46*Assumptions!$B$4</f>
        <v/>
      </c>
      <c r="D3">
        <f>280*2.1*46*Assumptions!$B$4</f>
        <v/>
      </c>
    </row>
    <row r="4">
      <c r="A4" t="inlineStr">
        <is>
          <t>3.5</t>
        </is>
      </c>
      <c r="B4">
        <f>150*3.5*46*Assumptions!$B$4</f>
        <v/>
      </c>
      <c r="C4">
        <f>214*3.5*46*Assumptions!$B$4</f>
        <v/>
      </c>
      <c r="D4">
        <f>280*3.5*46*Assumptions!$B$4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Status</t>
        </is>
      </c>
    </row>
    <row r="2">
      <c r="A2" t="inlineStr">
        <is>
          <t>Violation rate is derived from an unverified 18-driver survey conducted by plaintiff's counsel; defense-side telematics/timekeeping audit not yet complete</t>
        </is>
      </c>
      <c r="B2" t="inlineStr">
        <is>
          <t>Open — flagged for IT/HR data pull, see planning note</t>
        </is>
      </c>
    </row>
    <row r="3">
      <c r="A3" t="inlineStr">
        <is>
          <t>Waiting-time penalty formula assumes full 30-day cap for all 61 separated employees; individualized inquiry likely reduces this materially</t>
        </is>
      </c>
      <c r="B3" t="inlineStr">
        <is>
          <t>Conservative estimate — high end</t>
        </is>
      </c>
    </row>
    <row r="4">
      <c r="A4" t="inlineStr">
        <is>
          <t>PAGA estimate uses default per-violation rates; court retains discretion under Lab. Code 2699(e)(2) to reduce if penalty would be unjust or oppressive</t>
        </is>
      </c>
      <c r="B4" t="inlineStr">
        <is>
          <t>Litigation risk factor, not quantified</t>
        </is>
      </c>
    </row>
    <row r="5">
      <c r="A5" t="inlineStr">
        <is>
          <t>Model does not include potential rest-break claims (Lab. Code 226.7 also covers rest periods) — separate exposure line to be added pending scope confirmation</t>
        </is>
      </c>
      <c r="B5" t="inlineStr">
        <is>
          <t>Pending</t>
        </is>
      </c>
    </row>
    <row r="6">
      <c r="A6" t="inlineStr">
        <is>
          <t>This model is attorney work product prepared in anticipation of litigation; distribute only within engagement team</t>
        </is>
      </c>
      <c r="B6" t="inlineStr">
        <is>
          <t>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2026-08-22T22:02:08Z</dcterms:created>
  <dcterms:modified xmlns:dcterms="http://purl.org/dc/terms/" xmlns:xsi="http://www.w3.org/2001/XMLSchema-instance" xsi:type="dcterms:W3CDTF">2026-08-22T22:02:08Z</dcterms:modified>
</cp:coreProperties>
</file>