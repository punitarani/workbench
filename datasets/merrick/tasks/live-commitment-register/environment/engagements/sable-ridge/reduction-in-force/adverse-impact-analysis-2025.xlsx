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orce Data" sheetId="1" state="visible" r:id="rId1"/>
    <sheet xmlns:r="http://schemas.openxmlformats.org/officeDocument/2006/relationships" name="Adverse Impact - Age 40+" sheetId="2" state="visible" r:id="rId2"/>
    <sheet xmlns:r="http://schemas.openxmlformats.org/officeDocument/2006/relationships" name="Adverse Impact - Race" sheetId="3" state="visible" r:id="rId3"/>
    <sheet xmlns:r="http://schemas.openxmlformats.org/officeDocument/2006/relationships" name="Adverse Impact - Gender" sheetId="4" state="visible" r:id="rId4"/>
    <sheet xmlns:r="http://schemas.openxmlformats.org/officeDocument/2006/relationships" name="Selection Criteria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Department</t>
        </is>
      </c>
      <c r="C1" t="inlineStr">
        <is>
          <t>Job Title</t>
        </is>
      </c>
      <c r="D1" t="inlineStr">
        <is>
          <t>Age</t>
        </is>
      </c>
      <c r="E1" t="inlineStr">
        <is>
          <t>Race/Ethnicity</t>
        </is>
      </c>
      <c r="F1" t="inlineStr">
        <is>
          <t>Gender</t>
        </is>
      </c>
      <c r="G1" t="inlineStr">
        <is>
          <t>Tenure (Years)</t>
        </is>
      </c>
      <c r="H1" t="inlineStr">
        <is>
          <t>Performance Rating (1-5)</t>
        </is>
      </c>
      <c r="I1" t="inlineStr">
        <is>
          <t>Selected for RIF</t>
        </is>
      </c>
    </row>
    <row r="2">
      <c r="A2" t="inlineStr">
        <is>
          <t>E1001</t>
        </is>
      </c>
      <c r="B2" t="inlineStr">
        <is>
          <t>Operations</t>
        </is>
      </c>
      <c r="C2" t="inlineStr">
        <is>
          <t>Line Supervisor</t>
        </is>
      </c>
      <c r="D2" t="n">
        <v>52</v>
      </c>
      <c r="E2" t="inlineStr">
        <is>
          <t>White</t>
        </is>
      </c>
      <c r="F2" t="inlineStr">
        <is>
          <t>M</t>
        </is>
      </c>
      <c r="G2" t="n">
        <v>14</v>
      </c>
      <c r="H2" t="n">
        <v>3</v>
      </c>
      <c r="I2" t="inlineStr">
        <is>
          <t>Yes</t>
        </is>
      </c>
    </row>
    <row r="3">
      <c r="A3" t="inlineStr">
        <is>
          <t>E1002</t>
        </is>
      </c>
      <c r="B3" t="inlineStr">
        <is>
          <t>Operations</t>
        </is>
      </c>
      <c r="C3" t="inlineStr">
        <is>
          <t>Line Supervisor</t>
        </is>
      </c>
      <c r="D3" t="n">
        <v>39</v>
      </c>
      <c r="E3" t="inlineStr">
        <is>
          <t>Hispanic</t>
        </is>
      </c>
      <c r="F3" t="inlineStr">
        <is>
          <t>M</t>
        </is>
      </c>
      <c r="G3" t="n">
        <v>6</v>
      </c>
      <c r="H3" t="n">
        <v>4</v>
      </c>
      <c r="I3" t="inlineStr">
        <is>
          <t>No</t>
        </is>
      </c>
    </row>
    <row r="4">
      <c r="A4" t="inlineStr">
        <is>
          <t>E1003</t>
        </is>
      </c>
      <c r="B4" t="inlineStr">
        <is>
          <t>Operations</t>
        </is>
      </c>
      <c r="C4" t="inlineStr">
        <is>
          <t>Machine Operator</t>
        </is>
      </c>
      <c r="D4" t="n">
        <v>61</v>
      </c>
      <c r="E4" t="inlineStr">
        <is>
          <t>Black</t>
        </is>
      </c>
      <c r="F4" t="inlineStr">
        <is>
          <t>F</t>
        </is>
      </c>
      <c r="G4" t="n">
        <v>22</v>
      </c>
      <c r="H4" t="n">
        <v>2</v>
      </c>
      <c r="I4" t="inlineStr">
        <is>
          <t>Yes</t>
        </is>
      </c>
    </row>
    <row r="5">
      <c r="A5" t="inlineStr">
        <is>
          <t>E1004</t>
        </is>
      </c>
      <c r="B5" t="inlineStr">
        <is>
          <t>Operations</t>
        </is>
      </c>
      <c r="C5" t="inlineStr">
        <is>
          <t>Machine Operator</t>
        </is>
      </c>
      <c r="D5" t="n">
        <v>33</v>
      </c>
      <c r="E5" t="inlineStr">
        <is>
          <t>White</t>
        </is>
      </c>
      <c r="F5" t="inlineStr">
        <is>
          <t>M</t>
        </is>
      </c>
      <c r="G5" t="n">
        <v>4</v>
      </c>
      <c r="H5" t="n">
        <v>4</v>
      </c>
      <c r="I5" t="inlineStr">
        <is>
          <t>No</t>
        </is>
      </c>
    </row>
    <row r="6">
      <c r="A6" t="inlineStr">
        <is>
          <t>E1005</t>
        </is>
      </c>
      <c r="B6" t="inlineStr">
        <is>
          <t>Finance</t>
        </is>
      </c>
      <c r="C6" t="inlineStr">
        <is>
          <t>Senior Analyst</t>
        </is>
      </c>
      <c r="D6" t="n">
        <v>58</v>
      </c>
      <c r="E6" t="inlineStr">
        <is>
          <t>White</t>
        </is>
      </c>
      <c r="F6" t="inlineStr">
        <is>
          <t>F</t>
        </is>
      </c>
      <c r="G6" t="n">
        <v>19</v>
      </c>
      <c r="H6" t="n">
        <v>3</v>
      </c>
      <c r="I6" t="inlineStr">
        <is>
          <t>Yes</t>
        </is>
      </c>
    </row>
    <row r="7">
      <c r="A7" t="inlineStr">
        <is>
          <t>E1006</t>
        </is>
      </c>
      <c r="B7" t="inlineStr">
        <is>
          <t>Finance</t>
        </is>
      </c>
      <c r="C7" t="inlineStr">
        <is>
          <t>Senior Analyst</t>
        </is>
      </c>
      <c r="D7" t="n">
        <v>41</v>
      </c>
      <c r="E7" t="inlineStr">
        <is>
          <t>Asian</t>
        </is>
      </c>
      <c r="F7" t="inlineStr">
        <is>
          <t>F</t>
        </is>
      </c>
      <c r="G7" t="n">
        <v>8</v>
      </c>
      <c r="H7" t="n">
        <v>4</v>
      </c>
      <c r="I7" t="inlineStr">
        <is>
          <t>No</t>
        </is>
      </c>
    </row>
    <row r="8">
      <c r="A8" t="inlineStr">
        <is>
          <t>E1007</t>
        </is>
      </c>
      <c r="B8" t="inlineStr">
        <is>
          <t>Sales</t>
        </is>
      </c>
      <c r="C8" t="inlineStr">
        <is>
          <t>Account Manager</t>
        </is>
      </c>
      <c r="D8" t="n">
        <v>29</v>
      </c>
      <c r="E8" t="inlineStr">
        <is>
          <t>White</t>
        </is>
      </c>
      <c r="F8" t="inlineStr">
        <is>
          <t>M</t>
        </is>
      </c>
      <c r="G8" t="n">
        <v>3</v>
      </c>
      <c r="H8" t="n">
        <v>4</v>
      </c>
      <c r="I8" t="inlineStr">
        <is>
          <t>No</t>
        </is>
      </c>
    </row>
    <row r="9">
      <c r="A9" t="inlineStr">
        <is>
          <t>E1008</t>
        </is>
      </c>
      <c r="B9" t="inlineStr">
        <is>
          <t>Sales</t>
        </is>
      </c>
      <c r="C9" t="inlineStr">
        <is>
          <t>Account Manager</t>
        </is>
      </c>
      <c r="D9" t="n">
        <v>55</v>
      </c>
      <c r="E9" t="inlineStr">
        <is>
          <t>White</t>
        </is>
      </c>
      <c r="F9" t="inlineStr">
        <is>
          <t>M</t>
        </is>
      </c>
      <c r="G9" t="n">
        <v>17</v>
      </c>
      <c r="H9" t="n">
        <v>3</v>
      </c>
      <c r="I9" t="inlineStr">
        <is>
          <t>Yes</t>
        </is>
      </c>
    </row>
    <row r="10">
      <c r="A10" t="inlineStr">
        <is>
          <t>E1009</t>
        </is>
      </c>
      <c r="B10" t="inlineStr">
        <is>
          <t>HR</t>
        </is>
      </c>
      <c r="C10" t="inlineStr">
        <is>
          <t>Generalist</t>
        </is>
      </c>
      <c r="D10" t="n">
        <v>47</v>
      </c>
      <c r="E10" t="inlineStr">
        <is>
          <t>Black</t>
        </is>
      </c>
      <c r="F10" t="inlineStr">
        <is>
          <t>F</t>
        </is>
      </c>
      <c r="G10" t="n">
        <v>11</v>
      </c>
      <c r="H10" t="n">
        <v>3</v>
      </c>
      <c r="I10" t="inlineStr">
        <is>
          <t>Yes</t>
        </is>
      </c>
    </row>
    <row r="11">
      <c r="A11" t="inlineStr">
        <is>
          <t>E1010</t>
        </is>
      </c>
      <c r="B11" t="inlineStr">
        <is>
          <t>HR</t>
        </is>
      </c>
      <c r="C11" t="inlineStr">
        <is>
          <t>Generalist</t>
        </is>
      </c>
      <c r="D11" t="n">
        <v>36</v>
      </c>
      <c r="E11" t="inlineStr">
        <is>
          <t>White</t>
        </is>
      </c>
      <c r="F11" t="inlineStr">
        <is>
          <t>F</t>
        </is>
      </c>
      <c r="G11" t="n">
        <v>5</v>
      </c>
      <c r="H11" t="n">
        <v>4</v>
      </c>
      <c r="I11" t="inlineStr">
        <is>
          <t>No</t>
        </is>
      </c>
    </row>
    <row r="12">
      <c r="A12" t="inlineStr">
        <is>
          <t>E1011</t>
        </is>
      </c>
      <c r="B12" t="inlineStr">
        <is>
          <t>IT</t>
        </is>
      </c>
      <c r="C12" t="inlineStr">
        <is>
          <t>Systems Admin</t>
        </is>
      </c>
      <c r="D12" t="n">
        <v>62</v>
      </c>
      <c r="E12" t="inlineStr">
        <is>
          <t>White</t>
        </is>
      </c>
      <c r="F12" t="inlineStr">
        <is>
          <t>M</t>
        </is>
      </c>
      <c r="G12" t="n">
        <v>20</v>
      </c>
      <c r="H12" t="n">
        <v>2</v>
      </c>
      <c r="I12" t="inlineStr">
        <is>
          <t>Yes</t>
        </is>
      </c>
    </row>
    <row r="13">
      <c r="A13" t="inlineStr">
        <is>
          <t>E1012</t>
        </is>
      </c>
      <c r="B13" t="inlineStr">
        <is>
          <t>IT</t>
        </is>
      </c>
      <c r="C13" t="inlineStr">
        <is>
          <t>Systems Admin</t>
        </is>
      </c>
      <c r="D13" t="n">
        <v>28</v>
      </c>
      <c r="E13" t="inlineStr">
        <is>
          <t>Hispanic</t>
        </is>
      </c>
      <c r="F13" t="inlineStr">
        <is>
          <t>M</t>
        </is>
      </c>
      <c r="G13" t="n">
        <v>2</v>
      </c>
      <c r="H13" t="n">
        <v>4</v>
      </c>
      <c r="I13" t="inlineStr">
        <is>
          <t>No</t>
        </is>
      </c>
    </row>
    <row r="14">
      <c r="A14" t="inlineStr">
        <is>
          <t>E1013</t>
        </is>
      </c>
      <c r="B14" t="inlineStr">
        <is>
          <t>Operations</t>
        </is>
      </c>
      <c r="C14" t="inlineStr">
        <is>
          <t>Quality Inspector</t>
        </is>
      </c>
      <c r="D14" t="n">
        <v>44</v>
      </c>
      <c r="E14" t="inlineStr">
        <is>
          <t>White</t>
        </is>
      </c>
      <c r="F14" t="inlineStr">
        <is>
          <t>F</t>
        </is>
      </c>
      <c r="G14" t="n">
        <v>9</v>
      </c>
      <c r="H14" t="n">
        <v>3</v>
      </c>
      <c r="I14" t="inlineStr">
        <is>
          <t>No</t>
        </is>
      </c>
    </row>
    <row r="15">
      <c r="A15" t="inlineStr">
        <is>
          <t>E1014</t>
        </is>
      </c>
      <c r="B15" t="inlineStr">
        <is>
          <t>Operations</t>
        </is>
      </c>
      <c r="C15" t="inlineStr">
        <is>
          <t>Quality Inspector</t>
        </is>
      </c>
      <c r="D15" t="n">
        <v>59</v>
      </c>
      <c r="E15" t="inlineStr">
        <is>
          <t>Black</t>
        </is>
      </c>
      <c r="F15" t="inlineStr">
        <is>
          <t>M</t>
        </is>
      </c>
      <c r="G15" t="n">
        <v>18</v>
      </c>
      <c r="H15" t="n">
        <v>3</v>
      </c>
      <c r="I15" t="inlineStr">
        <is>
          <t>Yes</t>
        </is>
      </c>
    </row>
    <row r="16">
      <c r="A16" t="inlineStr">
        <is>
          <t>E1015</t>
        </is>
      </c>
      <c r="B16" t="inlineStr">
        <is>
          <t>Finance</t>
        </is>
      </c>
      <c r="C16" t="inlineStr">
        <is>
          <t>Staff Accountant</t>
        </is>
      </c>
      <c r="D16" t="n">
        <v>31</v>
      </c>
      <c r="E16" t="inlineStr">
        <is>
          <t>White</t>
        </is>
      </c>
      <c r="F16" t="inlineStr">
        <is>
          <t>F</t>
        </is>
      </c>
      <c r="G16" t="n">
        <v>4</v>
      </c>
      <c r="H16" t="n">
        <v>4</v>
      </c>
      <c r="I16" t="inlineStr">
        <is>
          <t>No</t>
        </is>
      </c>
    </row>
    <row r="17">
      <c r="A17" t="inlineStr">
        <is>
          <t>E1016</t>
        </is>
      </c>
      <c r="B17" t="inlineStr">
        <is>
          <t>Sales</t>
        </is>
      </c>
      <c r="C17" t="inlineStr">
        <is>
          <t>Account Manager</t>
        </is>
      </c>
      <c r="D17" t="n">
        <v>50</v>
      </c>
      <c r="E17" t="inlineStr">
        <is>
          <t>Asian</t>
        </is>
      </c>
      <c r="F17" t="inlineStr">
        <is>
          <t>M</t>
        </is>
      </c>
      <c r="G17" t="n">
        <v>12</v>
      </c>
      <c r="H17" t="n">
        <v>3</v>
      </c>
      <c r="I17" t="inlineStr">
        <is>
          <t>Yes</t>
        </is>
      </c>
    </row>
    <row r="18">
      <c r="A18" t="inlineStr">
        <is>
          <t>E1017</t>
        </is>
      </c>
      <c r="B18" t="inlineStr">
        <is>
          <t>Sales</t>
        </is>
      </c>
      <c r="C18" t="inlineStr">
        <is>
          <t>Account Manager</t>
        </is>
      </c>
      <c r="D18" t="n">
        <v>27</v>
      </c>
      <c r="E18" t="inlineStr">
        <is>
          <t>White</t>
        </is>
      </c>
      <c r="F18" t="inlineStr">
        <is>
          <t>F</t>
        </is>
      </c>
      <c r="G18" t="n">
        <v>2</v>
      </c>
      <c r="H18" t="n">
        <v>4</v>
      </c>
      <c r="I18" t="inlineStr">
        <is>
          <t>No</t>
        </is>
      </c>
    </row>
    <row r="19">
      <c r="A19" t="inlineStr">
        <is>
          <t>E1018</t>
        </is>
      </c>
      <c r="B19" t="inlineStr">
        <is>
          <t>HR</t>
        </is>
      </c>
      <c r="C19" t="inlineStr">
        <is>
          <t>Coordinator</t>
        </is>
      </c>
      <c r="D19" t="n">
        <v>24</v>
      </c>
      <c r="E19" t="inlineStr">
        <is>
          <t>White</t>
        </is>
      </c>
      <c r="F19" t="inlineStr">
        <is>
          <t>F</t>
        </is>
      </c>
      <c r="G19" t="n">
        <v>1</v>
      </c>
      <c r="H19" t="n">
        <v>4</v>
      </c>
      <c r="I19" t="inlineStr">
        <is>
          <t>No</t>
        </is>
      </c>
    </row>
    <row r="20">
      <c r="A20" t="inlineStr">
        <is>
          <t>E1019</t>
        </is>
      </c>
      <c r="B20" t="inlineStr">
        <is>
          <t>IT</t>
        </is>
      </c>
      <c r="C20" t="inlineStr">
        <is>
          <t>Help Desk</t>
        </is>
      </c>
      <c r="D20" t="n">
        <v>45</v>
      </c>
      <c r="E20" t="inlineStr">
        <is>
          <t>White</t>
        </is>
      </c>
      <c r="F20" t="inlineStr">
        <is>
          <t>M</t>
        </is>
      </c>
      <c r="G20" t="n">
        <v>10</v>
      </c>
      <c r="H20" t="n">
        <v>3</v>
      </c>
      <c r="I20" t="inlineStr">
        <is>
          <t>No</t>
        </is>
      </c>
    </row>
    <row r="21">
      <c r="A21" t="inlineStr">
        <is>
          <t>E1020</t>
        </is>
      </c>
      <c r="B21" t="inlineStr">
        <is>
          <t>IT</t>
        </is>
      </c>
      <c r="C21" t="inlineStr">
        <is>
          <t>Help Desk</t>
        </is>
      </c>
      <c r="D21" t="n">
        <v>57</v>
      </c>
      <c r="E21" t="inlineStr">
        <is>
          <t>Hispanic</t>
        </is>
      </c>
      <c r="F21" t="inlineStr">
        <is>
          <t>M</t>
        </is>
      </c>
      <c r="G21" t="n">
        <v>16</v>
      </c>
      <c r="H21" t="n">
        <v>2</v>
      </c>
      <c r="I21" t="inlineStr">
        <is>
          <t>Yes</t>
        </is>
      </c>
    </row>
    <row r="22">
      <c r="A22" t="inlineStr">
        <is>
          <t>E1021</t>
        </is>
      </c>
      <c r="B22" t="inlineStr">
        <is>
          <t>Operations</t>
        </is>
      </c>
      <c r="C22" t="inlineStr">
        <is>
          <t>Line Supervisor</t>
        </is>
      </c>
      <c r="D22" t="n">
        <v>34</v>
      </c>
      <c r="E22" t="inlineStr">
        <is>
          <t>White</t>
        </is>
      </c>
      <c r="F22" t="inlineStr">
        <is>
          <t>M</t>
        </is>
      </c>
      <c r="G22" t="n">
        <v>5</v>
      </c>
      <c r="H22" t="n">
        <v>4</v>
      </c>
      <c r="I22" t="inlineStr">
        <is>
          <t>No</t>
        </is>
      </c>
    </row>
    <row r="23">
      <c r="A23" t="inlineStr">
        <is>
          <t>E1022</t>
        </is>
      </c>
      <c r="B23" t="inlineStr">
        <is>
          <t>Operations</t>
        </is>
      </c>
      <c r="C23" t="inlineStr">
        <is>
          <t>Machine Operator</t>
        </is>
      </c>
      <c r="D23" t="n">
        <v>63</v>
      </c>
      <c r="E23" t="inlineStr">
        <is>
          <t>White</t>
        </is>
      </c>
      <c r="F23" t="inlineStr">
        <is>
          <t>M</t>
        </is>
      </c>
      <c r="G23" t="n">
        <v>24</v>
      </c>
      <c r="H23" t="n">
        <v>2</v>
      </c>
      <c r="I23" t="inlineStr">
        <is>
          <t>Yes</t>
        </is>
      </c>
    </row>
    <row r="24">
      <c r="A24" t="inlineStr">
        <is>
          <t>E1023</t>
        </is>
      </c>
      <c r="B24" t="inlineStr">
        <is>
          <t>Finance</t>
        </is>
      </c>
      <c r="C24" t="inlineStr">
        <is>
          <t>Senior Analyst</t>
        </is>
      </c>
      <c r="D24" t="n">
        <v>26</v>
      </c>
      <c r="E24" t="inlineStr">
        <is>
          <t>White</t>
        </is>
      </c>
      <c r="F24" t="inlineStr">
        <is>
          <t>F</t>
        </is>
      </c>
      <c r="G24" t="n">
        <v>1</v>
      </c>
      <c r="H24" t="n">
        <v>4</v>
      </c>
      <c r="I24" t="inlineStr">
        <is>
          <t>No</t>
        </is>
      </c>
    </row>
    <row r="25">
      <c r="A25" t="inlineStr">
        <is>
          <t>E1024</t>
        </is>
      </c>
      <c r="B25" t="inlineStr">
        <is>
          <t>Sales</t>
        </is>
      </c>
      <c r="C25" t="inlineStr">
        <is>
          <t>Account Manager</t>
        </is>
      </c>
      <c r="D25" t="n">
        <v>60</v>
      </c>
      <c r="E25" t="inlineStr">
        <is>
          <t>White</t>
        </is>
      </c>
      <c r="F25" t="inlineStr">
        <is>
          <t>M</t>
        </is>
      </c>
      <c r="G25" t="n">
        <v>21</v>
      </c>
      <c r="H25" t="n">
        <v>3</v>
      </c>
      <c r="I25" t="inlineStr">
        <is>
          <t>Yes</t>
        </is>
      </c>
    </row>
    <row r="26">
      <c r="A26" t="inlineStr">
        <is>
          <t>E1025</t>
        </is>
      </c>
      <c r="B26" t="inlineStr">
        <is>
          <t>HR</t>
        </is>
      </c>
      <c r="C26" t="inlineStr">
        <is>
          <t>Generalist</t>
        </is>
      </c>
      <c r="D26" t="n">
        <v>38</v>
      </c>
      <c r="E26" t="inlineStr">
        <is>
          <t>Black</t>
        </is>
      </c>
      <c r="F26" t="inlineStr">
        <is>
          <t>F</t>
        </is>
      </c>
      <c r="G26" t="n">
        <v>6</v>
      </c>
      <c r="H26" t="n">
        <v>4</v>
      </c>
      <c r="I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Total Employees</t>
        </is>
      </c>
      <c r="C1" t="inlineStr">
        <is>
          <t>Selected for RIF</t>
        </is>
      </c>
      <c r="D1" t="inlineStr">
        <is>
          <t>Selection Rate</t>
        </is>
      </c>
      <c r="E1" t="inlineStr">
        <is>
          <t>Rate Relative to Highest Group</t>
        </is>
      </c>
      <c r="F1" t="inlineStr">
        <is>
          <t>Passes 80% Rule?</t>
        </is>
      </c>
    </row>
    <row r="2">
      <c r="A2" t="inlineStr">
        <is>
          <t>Under 40</t>
        </is>
      </c>
      <c r="B2" t="n">
        <v>12</v>
      </c>
      <c r="C2" t="n">
        <v>1</v>
      </c>
      <c r="D2">
        <f>C2/B2</f>
        <v/>
      </c>
      <c r="E2">
        <f>D2/MAX(D2:D3)</f>
        <v/>
      </c>
      <c r="F2">
        <f>IF(E2&gt;=0.8,"Yes","No")</f>
        <v/>
      </c>
    </row>
    <row r="3">
      <c r="A3" t="inlineStr">
        <is>
          <t>40 and Over</t>
        </is>
      </c>
      <c r="B3" t="n">
        <v>13</v>
      </c>
      <c r="C3" t="n">
        <v>10</v>
      </c>
      <c r="D3">
        <f>C3/B3</f>
        <v/>
      </c>
      <c r="E3">
        <f>D3/MAX(D2:D3)</f>
        <v/>
      </c>
      <c r="F3">
        <f>IF(E3&gt;=0.8,"Yes","No")</f>
        <v/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Note</t>
        </is>
      </c>
      <c r="B5" t="inlineStr">
        <is>
          <t>Under-40 selection rate is well below 80% of the 40+ rate. This is a flag under the four-fifths rule and needs explanation tied to legitimate, documented business criteria (role elimination, tenure-neutral skills matrix) before this list is finalized.</t>
        </is>
      </c>
      <c r="C5" t="inlineStr"/>
      <c r="D5" t="inlineStr"/>
      <c r="E5" t="inlineStr"/>
      <c r="F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Total Employees</t>
        </is>
      </c>
      <c r="C1" t="inlineStr">
        <is>
          <t>Selected for RIF</t>
        </is>
      </c>
      <c r="D1" t="inlineStr">
        <is>
          <t>Selection Rate</t>
        </is>
      </c>
      <c r="E1" t="inlineStr">
        <is>
          <t>Rate Relative to Highest Group</t>
        </is>
      </c>
      <c r="F1" t="inlineStr">
        <is>
          <t>Passes 80% Rule?</t>
        </is>
      </c>
    </row>
    <row r="2">
      <c r="A2" t="inlineStr">
        <is>
          <t>White</t>
        </is>
      </c>
      <c r="B2" t="n">
        <v>16</v>
      </c>
      <c r="C2" t="n">
        <v>9</v>
      </c>
      <c r="D2">
        <f>C2/B2</f>
        <v/>
      </c>
      <c r="E2">
        <f>D2/MAX(D2:D5)</f>
        <v/>
      </c>
      <c r="F2">
        <f>IF(E2&gt;=0.8,"Yes","No")</f>
        <v/>
      </c>
    </row>
    <row r="3">
      <c r="A3" t="inlineStr">
        <is>
          <t>Black</t>
        </is>
      </c>
      <c r="B3" t="n">
        <v>4</v>
      </c>
      <c r="C3" t="n">
        <v>3</v>
      </c>
      <c r="D3">
        <f>C3/B3</f>
        <v/>
      </c>
      <c r="E3">
        <f>D3/MAX(D2:D5)</f>
        <v/>
      </c>
      <c r="F3">
        <f>IF(E3&gt;=0.8,"Yes","No")</f>
        <v/>
      </c>
    </row>
    <row r="4">
      <c r="A4" t="inlineStr">
        <is>
          <t>Hispanic</t>
        </is>
      </c>
      <c r="B4" t="n">
        <v>3</v>
      </c>
      <c r="C4" t="n">
        <v>2</v>
      </c>
      <c r="D4">
        <f>C4/B4</f>
        <v/>
      </c>
      <c r="E4">
        <f>D4/MAX(D2:D5)</f>
        <v/>
      </c>
      <c r="F4">
        <f>IF(E4&gt;=0.8,"Yes","No")</f>
        <v/>
      </c>
    </row>
    <row r="5">
      <c r="A5" t="inlineStr">
        <is>
          <t>Asian</t>
        </is>
      </c>
      <c r="B5" t="n">
        <v>2</v>
      </c>
      <c r="C5" t="n">
        <v>1</v>
      </c>
      <c r="D5">
        <f>C5/B5</f>
        <v/>
      </c>
      <c r="E5">
        <f>D5/MAX(D2:D5)</f>
        <v/>
      </c>
      <c r="F5">
        <f>IF(E5&gt;=0.8,"Yes","No")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Total Employees</t>
        </is>
      </c>
      <c r="C1" t="inlineStr">
        <is>
          <t>Selected for RIF</t>
        </is>
      </c>
      <c r="D1" t="inlineStr">
        <is>
          <t>Selection Rate</t>
        </is>
      </c>
      <c r="E1" t="inlineStr">
        <is>
          <t>Rate Relative to Highest Group</t>
        </is>
      </c>
      <c r="F1" t="inlineStr">
        <is>
          <t>Passes 80% Rule?</t>
        </is>
      </c>
    </row>
    <row r="2">
      <c r="A2" t="inlineStr">
        <is>
          <t>Male</t>
        </is>
      </c>
      <c r="B2" t="n">
        <v>14</v>
      </c>
      <c r="C2" t="n">
        <v>8</v>
      </c>
      <c r="D2">
        <f>C2/B2</f>
        <v/>
      </c>
      <c r="E2">
        <f>D2/MAX(D2:D3)</f>
        <v/>
      </c>
      <c r="F2">
        <f>IF(E2&gt;=0.8,"Yes","No")</f>
        <v/>
      </c>
    </row>
    <row r="3">
      <c r="A3" t="inlineStr">
        <is>
          <t>Female</t>
        </is>
      </c>
      <c r="B3" t="n">
        <v>11</v>
      </c>
      <c r="C3" t="n">
        <v>3</v>
      </c>
      <c r="D3">
        <f>C3/B3</f>
        <v/>
      </c>
      <c r="E3">
        <f>D3/MAX(D2:D3)</f>
        <v/>
      </c>
      <c r="F3">
        <f>IF(E3&gt;=0.8,"Yes","No")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Weight</t>
        </is>
      </c>
      <c r="C1" t="inlineStr">
        <is>
          <t>Notes</t>
        </is>
      </c>
    </row>
    <row r="2">
      <c r="A2" t="inlineStr">
        <is>
          <t>Performance Rating (most recent review cycle)</t>
        </is>
      </c>
      <c r="B2" t="inlineStr">
        <is>
          <t>40%</t>
        </is>
      </c>
      <c r="C2" t="inlineStr">
        <is>
          <t>Documented ratings only; no manager narrative substituted after the fact.</t>
        </is>
      </c>
    </row>
    <row r="3">
      <c r="A3" t="inlineStr">
        <is>
          <t>Role/Skill Redundancy (post-restructure org chart)</t>
        </is>
      </c>
      <c r="B3" t="inlineStr">
        <is>
          <t>40%</t>
        </is>
      </c>
      <c r="C3" t="inlineStr">
        <is>
          <t>Tied to which roles survive the new structure, not to the individual currently in the seat.</t>
        </is>
      </c>
    </row>
    <row r="4">
      <c r="A4" t="inlineStr">
        <is>
          <t>Tenure (as tiebreaker only)</t>
        </is>
      </c>
      <c r="B4" t="inlineStr">
        <is>
          <t>20%</t>
        </is>
      </c>
      <c r="C4" t="inlineStr">
        <is>
          <t>Used only when performance and redundancy scores tie; not a primary driver.</t>
        </is>
      </c>
    </row>
    <row r="5">
      <c r="A5" t="inlineStr">
        <is>
          <t>Explicitly excluded factors</t>
        </is>
      </c>
      <c r="B5" t="inlineStr">
        <is>
          <t>-</t>
        </is>
      </c>
      <c r="C5" t="inlineStr">
        <is>
          <t>Age, leave status, protected complaints/EEO activity, upcoming leave requests, salary level alone.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2026-08-22T22:45:16Z</dcterms:created>
  <dcterms:modified xmlns:dcterms="http://purl.org/dc/terms/" xmlns:xsi="http://www.w3.org/2001/XMLSchema-instance" xsi:type="dcterms:W3CDTF">2026-08-22T22:45:16Z</dcterms:modified>
</cp:coreProperties>
</file>