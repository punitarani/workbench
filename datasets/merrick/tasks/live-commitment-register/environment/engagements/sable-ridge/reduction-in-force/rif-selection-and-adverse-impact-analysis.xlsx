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Roster" sheetId="1" state="visible" r:id="rId1"/>
    <sheet xmlns:r="http://schemas.openxmlformats.org/officeDocument/2006/relationships" name="Adverse Impact - Age 40+" sheetId="2" state="visible" r:id="rId2"/>
    <sheet xmlns:r="http://schemas.openxmlformats.org/officeDocument/2006/relationships" name="Adverse Impact - Race and Sex" sheetId="3" state="visible" r:id="rId3"/>
    <sheet xmlns:r="http://schemas.openxmlformats.org/officeDocument/2006/relationships" name="Business Justification" sheetId="4" state="visible" r:id="rId4"/>
    <sheet xmlns:r="http://schemas.openxmlformats.org/officeDocument/2006/relationships" name="Open Items and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(internal HR#)</t>
        </is>
      </c>
      <c r="B1" t="inlineStr">
        <is>
          <t>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Age</t>
        </is>
      </c>
      <c r="F1" t="inlineStr">
        <is>
          <t>Protected Class Flags (Race/Sex/Age 40+/Disability)</t>
        </is>
      </c>
      <c r="G1" t="inlineStr">
        <is>
          <t>Tenure (Years)</t>
        </is>
      </c>
      <c r="H1" t="inlineStr">
        <is>
          <t>Performance Rating (Last Cycle)</t>
        </is>
      </c>
      <c r="I1" t="inlineStr">
        <is>
          <t>Selected for RIF (Y/N)</t>
        </is>
      </c>
      <c r="J1" t="inlineStr">
        <is>
          <t>Manager Recommending</t>
        </is>
      </c>
    </row>
    <row r="2">
      <c r="A2" t="inlineStr">
        <is>
          <t>10021</t>
        </is>
      </c>
      <c r="B2" t="inlineStr">
        <is>
          <t>Marcus Feeney</t>
        </is>
      </c>
      <c r="C2" t="inlineStr">
        <is>
          <t>Production Supervisor</t>
        </is>
      </c>
      <c r="D2" t="inlineStr">
        <is>
          <t>Manufacturing</t>
        </is>
      </c>
      <c r="E2" t="n">
        <v>52</v>
      </c>
      <c r="F2" t="inlineStr">
        <is>
          <t>Age 40+</t>
        </is>
      </c>
      <c r="G2" t="n">
        <v>14</v>
      </c>
      <c r="H2" t="inlineStr">
        <is>
          <t>Meets</t>
        </is>
      </c>
      <c r="I2" t="inlineStr">
        <is>
          <t>Y</t>
        </is>
      </c>
      <c r="J2" t="inlineStr">
        <is>
          <t>D. Okafor</t>
        </is>
      </c>
    </row>
    <row r="3">
      <c r="A3" t="inlineStr">
        <is>
          <t>10034</t>
        </is>
      </c>
      <c r="B3" t="inlineStr">
        <is>
          <t>Linda Choi</t>
        </is>
      </c>
      <c r="C3" t="inlineStr">
        <is>
          <t>Production Supervisor</t>
        </is>
      </c>
      <c r="D3" t="inlineStr">
        <is>
          <t>Manufacturing</t>
        </is>
      </c>
      <c r="E3" t="n">
        <v>38</v>
      </c>
      <c r="F3" t="inlineStr">
        <is>
          <t>None</t>
        </is>
      </c>
      <c r="G3" t="n">
        <v>6</v>
      </c>
      <c r="H3" t="inlineStr">
        <is>
          <t>Exceeds</t>
        </is>
      </c>
      <c r="I3" t="inlineStr">
        <is>
          <t>N</t>
        </is>
      </c>
      <c r="J3" t="inlineStr">
        <is>
          <t>D. Okafor</t>
        </is>
      </c>
    </row>
    <row r="4">
      <c r="A4" t="inlineStr">
        <is>
          <t>10041</t>
        </is>
      </c>
      <c r="B4" t="inlineStr">
        <is>
          <t>Robert Vance</t>
        </is>
      </c>
      <c r="C4" t="inlineStr">
        <is>
          <t>Quality Technician</t>
        </is>
      </c>
      <c r="D4" t="inlineStr">
        <is>
          <t>Manufacturing</t>
        </is>
      </c>
      <c r="E4" t="n">
        <v>61</v>
      </c>
      <c r="F4" t="inlineStr">
        <is>
          <t>Age 40+</t>
        </is>
      </c>
      <c r="G4" t="n">
        <v>22</v>
      </c>
      <c r="H4" t="inlineStr">
        <is>
          <t>Meets</t>
        </is>
      </c>
      <c r="I4" t="inlineStr">
        <is>
          <t>Y</t>
        </is>
      </c>
      <c r="J4" t="inlineStr">
        <is>
          <t>D. Okafor</t>
        </is>
      </c>
    </row>
    <row r="5">
      <c r="A5" t="inlineStr">
        <is>
          <t>10052</t>
        </is>
      </c>
      <c r="B5" t="inlineStr">
        <is>
          <t>Priya Anand</t>
        </is>
      </c>
      <c r="C5" t="inlineStr">
        <is>
          <t>Quality Technician</t>
        </is>
      </c>
      <c r="D5" t="inlineStr">
        <is>
          <t>Manufacturing</t>
        </is>
      </c>
      <c r="E5" t="n">
        <v>29</v>
      </c>
      <c r="F5" t="inlineStr">
        <is>
          <t>Sex (F)</t>
        </is>
      </c>
      <c r="G5" t="n">
        <v>3</v>
      </c>
      <c r="H5" t="inlineStr">
        <is>
          <t>Exceeds</t>
        </is>
      </c>
      <c r="I5" t="inlineStr">
        <is>
          <t>N</t>
        </is>
      </c>
      <c r="J5" t="inlineStr">
        <is>
          <t>D. Okafor</t>
        </is>
      </c>
    </row>
    <row r="6">
      <c r="A6" t="inlineStr">
        <is>
          <t>10063</t>
        </is>
      </c>
      <c r="B6" t="inlineStr">
        <is>
          <t>Gerald Nkemdirim</t>
        </is>
      </c>
      <c r="C6" t="inlineStr">
        <is>
          <t>Logistics Coordinator</t>
        </is>
      </c>
      <c r="D6" t="inlineStr">
        <is>
          <t>Supply Chain</t>
        </is>
      </c>
      <c r="E6" t="n">
        <v>47</v>
      </c>
      <c r="F6" t="inlineStr">
        <is>
          <t>Age 40+; Race (Black)</t>
        </is>
      </c>
      <c r="G6" t="n">
        <v>9</v>
      </c>
      <c r="H6" t="inlineStr">
        <is>
          <t>Meets</t>
        </is>
      </c>
      <c r="I6" t="inlineStr">
        <is>
          <t>Y</t>
        </is>
      </c>
      <c r="J6" t="inlineStr">
        <is>
          <t>T. Sowah</t>
        </is>
      </c>
    </row>
    <row r="7">
      <c r="A7" t="inlineStr">
        <is>
          <t>10071</t>
        </is>
      </c>
      <c r="B7" t="inlineStr">
        <is>
          <t>Anna Petrov</t>
        </is>
      </c>
      <c r="C7" t="inlineStr">
        <is>
          <t>Logistics Coordinator</t>
        </is>
      </c>
      <c r="D7" t="inlineStr">
        <is>
          <t>Supply Chain</t>
        </is>
      </c>
      <c r="E7" t="n">
        <v>34</v>
      </c>
      <c r="F7" t="inlineStr">
        <is>
          <t>None</t>
        </is>
      </c>
      <c r="G7" t="n">
        <v>4</v>
      </c>
      <c r="H7" t="inlineStr">
        <is>
          <t>Meets</t>
        </is>
      </c>
      <c r="I7" t="inlineStr">
        <is>
          <t>N</t>
        </is>
      </c>
      <c r="J7" t="inlineStr">
        <is>
          <t>T. Sowah</t>
        </is>
      </c>
    </row>
    <row r="8">
      <c r="A8" t="inlineStr">
        <is>
          <t>10088</t>
        </is>
      </c>
      <c r="B8" t="inlineStr">
        <is>
          <t>Harold Weiss</t>
        </is>
      </c>
      <c r="C8" t="inlineStr">
        <is>
          <t>Buyer</t>
        </is>
      </c>
      <c r="D8" t="inlineStr">
        <is>
          <t>Procurement</t>
        </is>
      </c>
      <c r="E8" t="n">
        <v>58</v>
      </c>
      <c r="F8" t="inlineStr">
        <is>
          <t>Age 40+</t>
        </is>
      </c>
      <c r="G8" t="n">
        <v>19</v>
      </c>
      <c r="H8" t="inlineStr">
        <is>
          <t>Below</t>
        </is>
      </c>
      <c r="I8" t="inlineStr">
        <is>
          <t>Y</t>
        </is>
      </c>
      <c r="J8" t="inlineStr">
        <is>
          <t>T. Sowah</t>
        </is>
      </c>
    </row>
    <row r="9">
      <c r="A9" t="inlineStr">
        <is>
          <t>10093</t>
        </is>
      </c>
      <c r="B9" t="inlineStr">
        <is>
          <t>Sandra Reyes</t>
        </is>
      </c>
      <c r="C9" t="inlineStr">
        <is>
          <t>Buyer</t>
        </is>
      </c>
      <c r="D9" t="inlineStr">
        <is>
          <t>Procurement</t>
        </is>
      </c>
      <c r="E9" t="n">
        <v>41</v>
      </c>
      <c r="F9" t="inlineStr">
        <is>
          <t>Age 40+; Sex (F)</t>
        </is>
      </c>
      <c r="G9" t="n">
        <v>11</v>
      </c>
      <c r="H9" t="inlineStr">
        <is>
          <t>Meets</t>
        </is>
      </c>
      <c r="I9" t="inlineStr">
        <is>
          <t>N</t>
        </is>
      </c>
      <c r="J9" t="inlineStr">
        <is>
          <t>T. Sowah</t>
        </is>
      </c>
    </row>
    <row r="10">
      <c r="A10" t="inlineStr">
        <is>
          <t>10104</t>
        </is>
      </c>
      <c r="B10" t="inlineStr">
        <is>
          <t>James O'Halloran</t>
        </is>
      </c>
      <c r="C10" t="inlineStr">
        <is>
          <t>HR Generalist</t>
        </is>
      </c>
      <c r="D10" t="inlineStr">
        <is>
          <t>Human Resources</t>
        </is>
      </c>
      <c r="E10" t="n">
        <v>55</v>
      </c>
      <c r="F10" t="inlineStr">
        <is>
          <t>Age 40+</t>
        </is>
      </c>
      <c r="G10" t="n">
        <v>16</v>
      </c>
      <c r="H10" t="inlineStr">
        <is>
          <t>Meets</t>
        </is>
      </c>
      <c r="I10" t="inlineStr">
        <is>
          <t>Y</t>
        </is>
      </c>
      <c r="J10" t="inlineStr">
        <is>
          <t>K. Farrow</t>
        </is>
      </c>
    </row>
    <row r="11">
      <c r="A11" t="inlineStr">
        <is>
          <t>10112</t>
        </is>
      </c>
      <c r="B11" t="inlineStr">
        <is>
          <t>Devi Ramaswamy</t>
        </is>
      </c>
      <c r="C11" t="inlineStr">
        <is>
          <t>HR Generalist</t>
        </is>
      </c>
      <c r="D11" t="inlineStr">
        <is>
          <t>Human Resources</t>
        </is>
      </c>
      <c r="E11" t="n">
        <v>31</v>
      </c>
      <c r="F11" t="inlineStr">
        <is>
          <t>None</t>
        </is>
      </c>
      <c r="G11" t="n">
        <v>2</v>
      </c>
      <c r="H11" t="inlineStr">
        <is>
          <t>Exceeds</t>
        </is>
      </c>
      <c r="I11" t="inlineStr">
        <is>
          <t>N</t>
        </is>
      </c>
      <c r="J11" t="inlineStr">
        <is>
          <t>K. Farrow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Under 40</t>
        </is>
      </c>
      <c r="C1" t="inlineStr">
        <is>
          <t>Age 40+</t>
        </is>
      </c>
      <c r="D1" t="inlineStr">
        <is>
          <t>Total</t>
        </is>
      </c>
    </row>
    <row r="2">
      <c r="A2" t="inlineStr">
        <is>
          <t>Headcount in Pool</t>
        </is>
      </c>
      <c r="B2" t="n">
        <v>5</v>
      </c>
      <c r="C2" t="n">
        <v>5</v>
      </c>
      <c r="D2" t="n">
        <v>10</v>
      </c>
    </row>
    <row r="3">
      <c r="A3" t="inlineStr">
        <is>
          <t>Selected for RIF</t>
        </is>
      </c>
      <c r="B3">
        <f>COUNTIFS('Selection Roster'!F2:F11,"*",'Selection Roster'!I2:I11,"Y")-COUNTIFS('Selection Roster'!F2:F11,"None",'Selection Roster'!I2:I11,"Y")</f>
        <v/>
      </c>
      <c r="C3">
        <f>COUNTIFS('Selection Roster'!F2:F11,"*Age 40+*",'Selection Roster'!I2:I11,"Y")</f>
        <v/>
      </c>
      <c r="D3">
        <f>B2+C2</f>
        <v/>
      </c>
    </row>
    <row r="4">
      <c r="A4" t="inlineStr">
        <is>
          <t>Selection Rate</t>
        </is>
      </c>
      <c r="B4" t="n">
        <v>0</v>
      </c>
      <c r="C4">
        <f>C2/C1</f>
        <v/>
      </c>
    </row>
    <row r="5">
      <c r="A5" t="inlineStr">
        <is>
          <t>Selection Rate Ratio (Under 40 rate / Age 40+ rate)</t>
        </is>
      </c>
      <c r="C5">
        <f>B3/C3</f>
        <v/>
      </c>
    </row>
    <row r="6">
      <c r="A6" t="inlineStr">
        <is>
          <t>4/5ths Rule Threshold Met? (ratio &gt;= 0.80 = pass)</t>
        </is>
      </c>
      <c r="C6" t="inlineStr">
        <is>
          <t>FAIL - 4 of 5 (80%) age 40+ employees selected vs 1 of 5 (20%) under 40</t>
        </is>
      </c>
    </row>
    <row r="7">
      <c r="A7" t="inlineStr">
        <is>
          <t>Notes</t>
        </is>
      </c>
      <c r="B7" t="inlineStr">
        <is>
          <t>Ratio calculation is directional; a selection rate for the protected group meaningfully higher than the non-protected group is itself a red flag even where the 4/5ths ratio construct (built for hiring/promotion) is inverted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Pool Headcount</t>
        </is>
      </c>
      <c r="C1" t="inlineStr">
        <is>
          <t>Selected Count</t>
        </is>
      </c>
      <c r="D1" t="inlineStr">
        <is>
          <t>Selection Rate</t>
        </is>
      </c>
      <c r="E1" t="inlineStr">
        <is>
          <t>Comparator Rate</t>
        </is>
      </c>
      <c r="F1" t="inlineStr">
        <is>
          <t>Rate Ratio</t>
        </is>
      </c>
      <c r="G1" t="inlineStr">
        <is>
          <t>Flag</t>
        </is>
      </c>
    </row>
    <row r="2">
      <c r="A2" t="inlineStr">
        <is>
          <t>Race - Black</t>
        </is>
      </c>
      <c r="B2" t="n">
        <v>1</v>
      </c>
      <c r="C2" t="n">
        <v>1</v>
      </c>
      <c r="D2" t="inlineStr">
        <is>
          <t>100%</t>
        </is>
      </c>
      <c r="E2" t="inlineStr">
        <is>
          <t>44% (4 of 9 remaining pool)</t>
        </is>
      </c>
      <c r="F2">
        <f>D2/E2</f>
        <v/>
      </c>
      <c r="G2" t="inlineStr">
        <is>
          <t>REVIEW - small cell size (n=1), statistically fragile but directionally concerning; treat as part of combined pattern, not standalone</t>
        </is>
      </c>
    </row>
    <row r="3">
      <c r="A3" t="inlineStr">
        <is>
          <t>Sex - Female</t>
        </is>
      </c>
      <c r="B3" t="n">
        <v>4</v>
      </c>
      <c r="C3" t="n">
        <v>0</v>
      </c>
      <c r="D3" t="inlineStr">
        <is>
          <t>0%</t>
        </is>
      </c>
      <c r="E3" t="inlineStr">
        <is>
          <t>67% (4 of 6 male pool)</t>
        </is>
      </c>
      <c r="F3">
        <f>D3/E3</f>
        <v/>
      </c>
      <c r="G3" t="inlineStr">
        <is>
          <t>No adverse impact indicated on sex; document analysis for file, no further action needed</t>
        </is>
      </c>
    </row>
    <row r="4">
      <c r="A4" t="inlineStr">
        <is>
          <t>Race - White/Other</t>
        </is>
      </c>
      <c r="B4" t="n">
        <v>9</v>
      </c>
      <c r="C4" t="n">
        <v>4</v>
      </c>
      <c r="D4" t="inlineStr">
        <is>
          <t>44%</t>
        </is>
      </c>
      <c r="E4" t="inlineStr">
        <is>
          <t>n/a</t>
        </is>
      </c>
      <c r="G4" t="inlineStr">
        <is>
          <t>Within expected range</t>
        </is>
      </c>
    </row>
    <row r="5">
      <c r="A5" t="inlineStr">
        <is>
          <t>Combined Pattern - Age 40+ and Race (Black)</t>
        </is>
      </c>
      <c r="G5" t="inlineStr">
        <is>
          <t>FLAG - the single Race (Black) selection (Gerald Nkemdirim) is also an Age 40+ selection lacking performance documentation; assess age and race findings together as a single fact pattern, not as isolated statistics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Selected</t>
        </is>
      </c>
      <c r="B1" t="inlineStr">
        <is>
          <t>Stated Business Reason</t>
        </is>
      </c>
      <c r="C1" t="inlineStr">
        <is>
          <t>Documented Performance Support (Y/N)</t>
        </is>
      </c>
      <c r="D1" t="inlineStr">
        <is>
          <t>Comparable Retained Employee</t>
        </is>
      </c>
      <c r="E1" t="inlineStr">
        <is>
          <t>Comparable's Rating</t>
        </is>
      </c>
      <c r="F1" t="inlineStr">
        <is>
          <t>Justification Gap Noted?</t>
        </is>
      </c>
    </row>
    <row r="2">
      <c r="A2" t="inlineStr">
        <is>
          <t>Marcus Feeney</t>
        </is>
      </c>
      <c r="B2" t="inlineStr">
        <is>
          <t>Role redundancy - shift consolidation</t>
        </is>
      </c>
      <c r="C2" t="inlineStr">
        <is>
          <t>N - last written review 2022</t>
        </is>
      </c>
      <c r="D2" t="inlineStr">
        <is>
          <t>Linda Choi</t>
        </is>
      </c>
      <c r="E2" t="inlineStr">
        <is>
          <t>Exceeds</t>
        </is>
      </c>
      <c r="F2" t="inlineStr">
        <is>
          <t>Y - no recent documentation, older/longer-tenured employee selected over less senior comparator</t>
        </is>
      </c>
    </row>
    <row r="3">
      <c r="A3" t="inlineStr">
        <is>
          <t>Robert Vance</t>
        </is>
      </c>
      <c r="B3" t="inlineStr">
        <is>
          <t>Role redundancy - shift consolidation</t>
        </is>
      </c>
      <c r="C3" t="inlineStr">
        <is>
          <t>Y - 2024 review on file</t>
        </is>
      </c>
      <c r="D3" t="inlineStr">
        <is>
          <t>Priya Anand</t>
        </is>
      </c>
      <c r="E3" t="inlineStr">
        <is>
          <t>Exceeds</t>
        </is>
      </c>
      <c r="F3" t="inlineStr">
        <is>
          <t>Y - both meet standard but selection favors younger, shorter-tenure employee</t>
        </is>
      </c>
    </row>
    <row r="4">
      <c r="A4" t="inlineStr">
        <is>
          <t>Gerald Nkemdirim</t>
        </is>
      </c>
      <c r="B4" t="inlineStr">
        <is>
          <t>Cost reduction - logistics restructuring</t>
        </is>
      </c>
      <c r="C4" t="inlineStr">
        <is>
          <t>N - no review in file</t>
        </is>
      </c>
      <c r="D4" t="inlineStr">
        <is>
          <t>Anna Petrov</t>
        </is>
      </c>
      <c r="E4" t="inlineStr">
        <is>
          <t>Meets</t>
        </is>
      </c>
      <c r="F4" t="inlineStr">
        <is>
          <t>Y - no documented basis distinguishing the two; personnel file pull requested, pending as of this update</t>
        </is>
      </c>
    </row>
    <row r="5">
      <c r="A5" t="inlineStr">
        <is>
          <t>Harold Weiss</t>
        </is>
      </c>
      <c r="B5" t="inlineStr">
        <is>
          <t>Performance-related</t>
        </is>
      </c>
      <c r="C5" t="inlineStr">
        <is>
          <t>Y - below-standard rating documented</t>
        </is>
      </c>
      <c r="D5" t="inlineStr">
        <is>
          <t>Sandra Reyes</t>
        </is>
      </c>
      <c r="E5" t="inlineStr">
        <is>
          <t>Meets</t>
        </is>
      </c>
      <c r="F5" t="inlineStr">
        <is>
          <t>N - performance basis is documented and defensible</t>
        </is>
      </c>
    </row>
    <row r="6">
      <c r="A6" t="inlineStr">
        <is>
          <t>James O'Halloran</t>
        </is>
      </c>
      <c r="B6" t="inlineStr">
        <is>
          <t>Role redundancy - HR consolidation</t>
        </is>
      </c>
      <c r="C6" t="inlineStr">
        <is>
          <t>N - no review in file</t>
        </is>
      </c>
      <c r="D6" t="inlineStr">
        <is>
          <t>Devi Ramaswamy</t>
        </is>
      </c>
      <c r="E6" t="inlineStr">
        <is>
          <t>Exceeds</t>
        </is>
      </c>
      <c r="F6" t="inlineStr">
        <is>
          <t>Y - no documentation; oldest employee in department selected; personnel file pull requested, pending as of this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Risk Level</t>
        </is>
      </c>
      <c r="C1" t="inlineStr">
        <is>
          <t>Recommended Action</t>
        </is>
      </c>
      <c r="D1" t="inlineStr">
        <is>
          <t>Owner</t>
        </is>
      </c>
      <c r="E1" t="inlineStr">
        <is>
          <t>Due Date</t>
        </is>
      </c>
      <c r="F1" t="inlineStr">
        <is>
          <t>Status</t>
        </is>
      </c>
    </row>
    <row r="2">
      <c r="A2" t="inlineStr">
        <is>
          <t>Age 40+ selection rate (80% vs 20%) unexplained by ratings alone</t>
        </is>
      </c>
      <c r="B2" t="inlineStr">
        <is>
          <t>High</t>
        </is>
      </c>
      <c r="C2" t="inlineStr">
        <is>
          <t>Do not finalize this roster; require documented, rating-supported justification for each age 40+ selection or rework pool before notices go out</t>
        </is>
      </c>
      <c r="D2" t="inlineStr">
        <is>
          <t>F. Doherty / D. Okafor</t>
        </is>
      </c>
      <c r="E2" t="inlineStr">
        <is>
          <t>2025-09-19</t>
        </is>
      </c>
      <c r="F2" t="inlineStr">
        <is>
          <t>Open - awaiting revised justifications from D. Okafor</t>
        </is>
      </c>
    </row>
    <row r="3">
      <c r="A3" t="inlineStr">
        <is>
          <t>Nkemdirim and O'Halloran selections lack performance documentation</t>
        </is>
      </c>
      <c r="B3" t="inlineStr">
        <is>
          <t>High</t>
        </is>
      </c>
      <c r="C3" t="inlineStr">
        <is>
          <t>Pull complete personnel file; if no contemporaneous documentation exists, treat as high-exposure selections and reconsider</t>
        </is>
      </c>
      <c r="D3" t="inlineStr">
        <is>
          <t>K. Farrow</t>
        </is>
      </c>
      <c r="E3" t="inlineStr">
        <is>
          <t>2025-09-17</t>
        </is>
      </c>
      <c r="F3" t="inlineStr">
        <is>
          <t>Open - file pull requested, results pending</t>
        </is>
      </c>
    </row>
    <row r="4">
      <c r="A4" t="inlineStr">
        <is>
          <t>Race - Black selection at 100% of a pool of one</t>
        </is>
      </c>
      <c r="B4" t="inlineStr">
        <is>
          <t>Medium</t>
        </is>
      </c>
      <c r="C4" t="inlineStr">
        <is>
          <t>Statistically fragile alone, but combine with age finding for overall pattern assessment; do not treat in isolation</t>
        </is>
      </c>
      <c r="D4" t="inlineStr">
        <is>
          <t>F. Doherty</t>
        </is>
      </c>
      <c r="E4" t="inlineStr">
        <is>
          <t>2025-09-19</t>
        </is>
      </c>
      <c r="F4" t="inlineStr">
        <is>
          <t>Open - see combined pattern row on Race and Sex tab</t>
        </is>
      </c>
    </row>
    <row r="5">
      <c r="A5" t="inlineStr">
        <is>
          <t>No written RIF selection criteria memo exists yet</t>
        </is>
      </c>
      <c r="B5" t="inlineStr">
        <is>
          <t>High</t>
        </is>
      </c>
      <c r="C5" t="inlineStr">
        <is>
          <t>Draft and circulate selection criteria memo before any notice is delivered; criteria must be applied and documented consistently across all departments</t>
        </is>
      </c>
      <c r="D5" t="inlineStr">
        <is>
          <t>F. Doherty</t>
        </is>
      </c>
      <c r="E5" t="inlineStr">
        <is>
          <t>2025-09-16</t>
        </is>
      </c>
      <c r="F5" t="inlineStr">
        <is>
          <t>In progress - draft memo underway</t>
        </is>
      </c>
    </row>
    <row r="6">
      <c r="A6" t="inlineStr">
        <is>
          <t>OWBPA disclosure obligations not yet assessed</t>
        </is>
      </c>
      <c r="B6" t="inlineStr">
        <is>
          <t>High</t>
        </is>
      </c>
      <c r="C6" t="inlineStr">
        <is>
          <t>Confirm whether this RIF triggers OWBPA decisional unit disclosure requirements (test for a 'group termination program' under the ADEA waiver rules) before any release agreements are sent</t>
        </is>
      </c>
      <c r="D6" t="inlineStr">
        <is>
          <t>F. Doherty</t>
        </is>
      </c>
      <c r="E6" t="inlineStr">
        <is>
          <t>2025-09-18</t>
        </is>
      </c>
      <c r="F6" t="inlineStr">
        <is>
          <t>In progress - decisional unit analysis underway given confirmed adverse impact on age 40+ group</t>
        </is>
      </c>
    </row>
    <row r="7">
      <c r="A7" t="inlineStr">
        <is>
          <t>Sex - Female comparator analysis complete, no adverse impact found</t>
        </is>
      </c>
      <c r="B7" t="inlineStr">
        <is>
          <t>Low</t>
        </is>
      </c>
      <c r="C7" t="inlineStr">
        <is>
          <t>No further testing required on sex; retain analysis in file to demonstrate diligence</t>
        </is>
      </c>
      <c r="D7" t="inlineStr">
        <is>
          <t>F. Doherty</t>
        </is>
      </c>
      <c r="E7" t="inlineStr">
        <is>
          <t>2025-09-19</t>
        </is>
      </c>
      <c r="F7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