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Estimate Summary" sheetId="1" state="visible" r:id="rId1"/>
    <sheet xmlns:r="http://schemas.openxmlformats.org/officeDocument/2006/relationships" name="Basis for Estim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Status</t>
        </is>
      </c>
      <c r="C1" t="inlineStr">
        <is>
          <t>Fees Incurred to Date</t>
        </is>
      </c>
      <c r="D1" t="inlineStr">
        <is>
          <t>Estimated Fees to Complete</t>
        </is>
      </c>
      <c r="E1" t="inlineStr">
        <is>
          <t>Total Estimated Fees</t>
        </is>
      </c>
      <c r="F1" t="inlineStr">
        <is>
          <t>Notes</t>
        </is>
      </c>
    </row>
    <row r="2">
      <c r="A2" t="inlineStr">
        <is>
          <t>APA negotiation &amp; Article 4-7 redlines</t>
        </is>
      </c>
      <c r="B2" t="inlineStr">
        <is>
          <t>Moving to final-form; estoppel deliverable (Section 6.2(d) cross-reference) sole tracked exception</t>
        </is>
      </c>
      <c r="C2" t="n">
        <v>68500</v>
      </c>
      <c r="D2" t="n">
        <v>6000</v>
      </c>
      <c r="E2">
        <f>C2+D2</f>
        <v/>
      </c>
      <c r="F2" t="inlineStr">
        <is>
          <t>All other closed items (4.6, 4.9, 5.3, 7.4, 7.6) confirmed accurate; only pincite/citation closeout and estoppel receipt remain outstanding</t>
        </is>
      </c>
    </row>
    <row r="3">
      <c r="A3" t="inlineStr">
        <is>
          <t>Diligence review &amp; closing checklist reconciliation</t>
        </is>
      </c>
      <c r="B3" t="inlineStr">
        <is>
          <t>Reconciled vs. APA open items tracker; good standing certificate (Ref #1) closed; estoppel deadline letter now sole open item</t>
        </is>
      </c>
      <c r="C3" t="n">
        <v>42000</v>
      </c>
      <c r="D3" t="n">
        <v>3000</v>
      </c>
      <c r="E3">
        <f>C3+D3</f>
        <v/>
      </c>
      <c r="F3" t="inlineStr">
        <is>
          <t>doc-000172 revised: Corporate/Good Standing summary now 12 closed, 0 open, following sent Ardmore Elevator good standing confirmation; estoppels stand at 2 of 3 received, third-party estoppel still pending; elevator delivery schedule still to follow separately, unaffected by supplier dispute</t>
        </is>
      </c>
    </row>
    <row r="4">
      <c r="A4" t="inlineStr">
        <is>
          <t>Supplier dispute (no-counterclaim decision)</t>
        </is>
      </c>
      <c r="B4" t="inlineStr">
        <is>
          <t>Closed — decision made, memo to file</t>
        </is>
      </c>
      <c r="C4" t="n">
        <v>11500</v>
      </c>
      <c r="D4" t="n">
        <v>1500</v>
      </c>
      <c r="E4">
        <f>C4+D4</f>
        <v/>
      </c>
      <c r="F4" t="inlineStr">
        <is>
          <t>Cost/benefit favored sourcing elsewhere; hold-position/no-counterclaim recommendation reiterated to Quentin and grounded in investigation memo and holding-position memo (both attached); no update from Dov on holder ID or counterclaim file; documentation of replacement purchase budgeted separately below; confirmed zero read-through to Ardmore/Verity closing; documentation close-out scheduled this afternoon</t>
        </is>
      </c>
    </row>
    <row r="5">
      <c r="A5" t="inlineStr">
        <is>
          <t>Replacement purchase documentation</t>
        </is>
      </c>
      <c r="B5" t="inlineStr">
        <is>
          <t>Not yet started</t>
        </is>
      </c>
      <c r="C5" t="n">
        <v>0</v>
      </c>
      <c r="D5" t="n">
        <v>3500</v>
      </c>
      <c r="E5">
        <f>C5+D5</f>
        <v/>
      </c>
      <c r="F5" t="inlineStr">
        <is>
          <t>Trivial cost relative to exposure avoided; a few hours at senior/associate blend</t>
        </is>
      </c>
    </row>
    <row r="6">
      <c r="A6" t="inlineStr">
        <is>
          <t>Estoppel deadline letter (Whitfield) — escalation ongoing</t>
        </is>
      </c>
      <c r="B6" t="inlineStr">
        <is>
          <t>Open — deadline letter sent to Whitfield today; counsel remains silent, no response after three days; item remains open</t>
        </is>
      </c>
      <c r="C6" t="n">
        <v>4500</v>
      </c>
      <c r="D6" t="n">
        <v>3000</v>
      </c>
      <c r="E6">
        <f>C6+D6</f>
        <v/>
      </c>
      <c r="F6" t="inlineStr">
        <is>
          <t>Direct outreach to Whitfield and counsel both went unanswered; escalated from call attempt to formal deadline letter (drafted and sent same day); estoppels stand at 2 of 3 received, third party's estoppel still outstanding; confirmed no impact on Ardmore closing timeline; contingency added given prolonged non-response — will increase further if deadline lapses without reply; continued EOD monitoring in place</t>
        </is>
      </c>
    </row>
    <row r="7">
      <c r="A7" t="inlineStr">
        <is>
          <t>Closing set preparation &amp; signing mechanics</t>
        </is>
      </c>
      <c r="B7" t="inlineStr">
        <is>
          <t>Not started</t>
        </is>
      </c>
      <c r="C7" t="n">
        <v>0</v>
      </c>
      <c r="D7" t="n">
        <v>14000</v>
      </c>
      <c r="E7">
        <f>C7+D7</f>
        <v/>
      </c>
      <c r="F7" t="inlineStr">
        <is>
          <t>Assumes no material delay from open estoppel item; good standing certificate now closed removes one prior open item from closing set prep</t>
        </is>
      </c>
    </row>
    <row r="8">
      <c r="A8" t="inlineStr">
        <is>
          <t>Total</t>
        </is>
      </c>
      <c r="B8" t="inlineStr"/>
      <c r="C8">
        <f>SUM(C2:C7)</f>
        <v/>
      </c>
      <c r="D8">
        <f>SUM(D2:D7)</f>
        <v/>
      </c>
      <c r="E8">
        <f>SUM(E2:E7)</f>
        <v/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for</t>
        </is>
      </c>
      <c r="B2" t="inlineStr">
        <is>
          <t>Imelda Frost — ahead of board call</t>
        </is>
      </c>
    </row>
    <row r="3">
      <c r="A3" t="inlineStr">
        <is>
          <t>Prepared by</t>
        </is>
      </c>
      <c r="B3" t="inlineStr">
        <is>
          <t>Ingrid Solheim, Senior Associate, Corporate</t>
        </is>
      </c>
    </row>
    <row r="4">
      <c r="A4" t="inlineStr">
        <is>
          <t>Prior request</t>
        </is>
      </c>
      <c r="B4" t="inlineStr">
        <is>
          <t>Outstanding request per msg-000281; this revision supersedes the prior estimate, which was stale as the board had not yet acted on it, and reconciles current status ahead of the board call</t>
        </is>
      </c>
    </row>
    <row r="5">
      <c r="A5" t="inlineStr">
        <is>
          <t>Supplier dispute resolution</t>
        </is>
      </c>
      <c r="B5" t="inlineStr">
        <is>
          <t>No counterclaim filed — thin evidentiary record, discovery costs outweigh marginal benefit over cover damages; recommendation reaffirmed to Quentin, grounded in investigation memo and holding-position memo (both attached); letter or negotiated cover purchase offered as faster commercial alternatives; memo to file attached (doc-000104); no update from Dov on holder ID or counterclaim file; confirmed zero read-through to Ardmore/Verity closing; documentation close-out scheduled this afternoon</t>
        </is>
      </c>
    </row>
    <row r="6">
      <c r="A6" t="inlineStr">
        <is>
          <t>Timeline impact</t>
        </is>
      </c>
      <c r="B6" t="inlineStr">
        <is>
          <t>Confirmed supplier dispute does not affect Ardmore elevator acquisition timeline</t>
        </is>
      </c>
    </row>
    <row r="7">
      <c r="A7" t="inlineStr">
        <is>
          <t>Closing checklist status</t>
        </is>
      </c>
      <c r="B7" t="inlineStr">
        <is>
          <t>Sandhurst/Ardmore closing checklist (doc-000172) revised: good standing certificate (Ref #1, Section I) Closed following sent Ardmore Elevator good standing confirmation; Corporate/Good Standing summary now 12 closed, 0 open; checklist remains open only pending the Whitfield estoppel deadline letter; estoppels currently stand at 2 of 3 received, with the third-party estoppel still pending</t>
        </is>
      </c>
    </row>
    <row r="8">
      <c r="A8" t="inlineStr">
        <is>
          <t>Redline status</t>
        </is>
      </c>
      <c r="B8" t="inlineStr">
        <is>
          <t>Article 4-7 redline (doc-000188) moving to final-form status; all closed items (4.6, 4.9, 5.3, 7.4, 7.6) confirmed accurate; estoppel receipt is the sole tracked exception</t>
        </is>
      </c>
    </row>
    <row r="9">
      <c r="A9" t="inlineStr">
        <is>
          <t>Open risk to estimate</t>
        </is>
      </c>
      <c r="B9" t="inlineStr">
        <is>
          <t>Whitfield estoppel deadline letter: direct outreach to Whitfield and counsel unanswered after three days' silence; escalation moved from call attempt to formal deadline letter, sent to Whitfield today; counsel remains silent ahead of the 12:30 checklist reconciliation; checklist item remains open pending response; no impact on Ardmore closing timeline confirmed; contingency will increase if deadline lapses without reply; continued EOD monitoring in place; escalation is the agreed next step if silence continues</t>
        </is>
      </c>
    </row>
    <row r="10">
      <c r="A10" t="inlineStr">
        <is>
          <t>Escalation and tracker logging protocol</t>
        </is>
      </c>
      <c r="B10" t="inlineStr">
        <is>
          <t>Confirmed with Mira that escalation steps and good-standing closure are to be logged in the tracker in real time rather than reconstructed after the fact; firmwide practice note issued on read-aloud to/cc policy for escalation and tracker logging; confirmed to Quentin that his separate tracker is stale and can be deleted, as the checklist (doc-000172) is now the single source of truth</t>
        </is>
      </c>
    </row>
    <row r="11">
      <c r="A11" t="inlineStr">
        <is>
          <t>Diligence tracker cross-reference</t>
        </is>
      </c>
      <c r="B11" t="inlineStr">
        <is>
          <t>Quentin's diligence-tracker.xlsx Item #10 confirmed and to be re-tagged to Sandhurst Platform Acquisition, matching the earlier signature pages tracker resolution; verification against doc-000172 checklist by EOD</t>
        </is>
      </c>
    </row>
    <row r="12">
      <c r="A12" t="inlineStr">
        <is>
          <t>Litigation draft review status (unrelated matter, doc-000013)</t>
        </is>
      </c>
      <c r="B12" t="inlineStr">
        <is>
          <t>Reviewed as reviewer of record; added [IS: ...] notes flagging thin evidentiary support (pending cites, unresolved pincites, open signal-case citations) and tightening overstated conclusions to match record as currently cited; signed off on adequately grounded sections; original BA notes and content left intact; document remains .docx pending open items — no impact on this estimate</t>
        </is>
      </c>
    </row>
    <row r="13">
      <c r="A13" t="inlineStr">
        <is>
          <t>Elevator delivery schedule</t>
        </is>
      </c>
      <c r="B13" t="inlineStr">
        <is>
          <t>Coming separately; not yet reflected in this 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2026-08-22T22:45:14Z</dcterms:created>
  <dcterms:modified xmlns:dcterms="http://purl.org/dc/terms/" xmlns:xsi="http://www.w3.org/2001/XMLSchema-instance" xsi:type="dcterms:W3CDTF">2026-08-22T22:45:14Z</dcterms:modified>
</cp:coreProperties>
</file>