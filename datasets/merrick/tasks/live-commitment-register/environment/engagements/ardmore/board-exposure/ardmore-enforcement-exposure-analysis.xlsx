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weep Confirmation" sheetId="2" state="visible" r:id="rId2"/>
    <sheet xmlns:r="http://schemas.openxmlformats.org/officeDocument/2006/relationships" name="Exposure Detail by Matter Threa" sheetId="3" state="visible" r:id="rId3"/>
    <sheet xmlns:r="http://schemas.openxmlformats.org/officeDocument/2006/relationships" name="Reconciliation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Prior Update</t>
        </is>
      </c>
      <c r="C1" t="inlineStr">
        <is>
          <t>Current Update</t>
        </is>
      </c>
      <c r="D1" t="inlineStr">
        <is>
          <t>Change</t>
        </is>
      </c>
      <c r="E1" t="inlineStr">
        <is>
          <t>Notes</t>
        </is>
      </c>
    </row>
    <row r="2">
      <c r="A2" t="inlineStr">
        <is>
          <t>Liability Exposure (Low)</t>
        </is>
      </c>
      <c r="B2" t="n">
        <v>4200000</v>
      </c>
      <c r="C2" t="n">
        <v>4200000</v>
      </c>
      <c r="D2" t="n">
        <v>0</v>
      </c>
      <c r="E2" t="inlineStr">
        <is>
          <t>Unchanged since last update — see record</t>
        </is>
      </c>
    </row>
    <row r="3">
      <c r="A3" t="inlineStr">
        <is>
          <t>Liability Exposure (High)</t>
        </is>
      </c>
      <c r="B3" t="n">
        <v>7800000</v>
      </c>
      <c r="C3" t="n">
        <v>7800000</v>
      </c>
      <c r="D3" t="n">
        <v>0</v>
      </c>
      <c r="E3" t="inlineStr">
        <is>
          <t>Unchanged since last update — see record</t>
        </is>
      </c>
    </row>
    <row r="4">
      <c r="A4" t="inlineStr">
        <is>
          <t>Damages / Settlement Range (Low)</t>
        </is>
      </c>
      <c r="B4" t="n">
        <v>2500000</v>
      </c>
      <c r="C4" t="n">
        <v>2500000</v>
      </c>
      <c r="D4" t="n">
        <v>0</v>
      </c>
      <c r="E4" t="inlineStr">
        <is>
          <t>Unchanged</t>
        </is>
      </c>
    </row>
    <row r="5">
      <c r="A5" t="inlineStr">
        <is>
          <t>Damages / Settlement Range (High)</t>
        </is>
      </c>
      <c r="B5" t="n">
        <v>5100000</v>
      </c>
      <c r="C5" t="n">
        <v>5100000</v>
      </c>
      <c r="D5" t="n">
        <v>0</v>
      </c>
      <c r="E5" t="inlineStr">
        <is>
          <t>Unchanged</t>
        </is>
      </c>
    </row>
    <row r="6">
      <c r="A6" t="inlineStr">
        <is>
          <t>Anticipated Litigation Spend (Remaining)</t>
        </is>
      </c>
      <c r="B6" t="n">
        <v>1150000</v>
      </c>
      <c r="C6" t="n">
        <v>1150000</v>
      </c>
      <c r="D6" t="n">
        <v>0</v>
      </c>
      <c r="E6" t="inlineStr">
        <is>
          <t>Unchanged; reconciles with reserve</t>
        </is>
      </c>
    </row>
    <row r="7">
      <c r="A7" t="inlineStr">
        <is>
          <t>Coverage Posture — Confirmed Limits</t>
        </is>
      </c>
      <c r="B7" t="n">
        <v>3000000</v>
      </c>
      <c r="C7" t="n">
        <v>3000000</v>
      </c>
      <c r="D7" t="n">
        <v>0</v>
      </c>
      <c r="E7" t="inlineStr">
        <is>
          <t>No change in carrier position</t>
        </is>
      </c>
    </row>
    <row r="8">
      <c r="A8" t="inlineStr">
        <is>
          <t>Reserve Figure (Booked)</t>
        </is>
      </c>
      <c r="B8" t="n">
        <v>6400000</v>
      </c>
      <c r="C8" t="n">
        <v>6400000</v>
      </c>
      <c r="D8" t="n">
        <v>0</v>
      </c>
      <c r="E8" t="inlineStr">
        <is>
          <t>Confirmed accurate; independently cross-checked by Ulrich Bergmann and confirmed by Bennett Ashworth; reconciles with board package (doc-000378)</t>
        </is>
      </c>
    </row>
    <row r="9">
      <c r="A9" t="inlineStr">
        <is>
          <t>Halden Sweep Balance</t>
        </is>
      </c>
      <c r="B9" t="n">
        <v>0</v>
      </c>
      <c r="C9" t="n">
        <v>0</v>
      </c>
      <c r="D9" t="n">
        <v>0</v>
      </c>
      <c r="E9" t="inlineStr">
        <is>
          <t>Triple-confirmed $0.00 — see Sweep Confirmation tab</t>
        </is>
      </c>
    </row>
    <row r="10">
      <c r="A10" t="inlineStr">
        <is>
          <t>Northmoor Sweep Balance</t>
        </is>
      </c>
      <c r="B10" t="n">
        <v>0</v>
      </c>
      <c r="C10" t="n">
        <v>0</v>
      </c>
      <c r="D10" t="n">
        <v>0</v>
      </c>
      <c r="E10" t="inlineStr">
        <is>
          <t>Triple-confirmed $0.00 — see Sweep Confirmation tab</t>
        </is>
      </c>
    </row>
    <row r="11">
      <c r="A11" t="inlineStr">
        <is>
          <t>Verity Grain Sweep Balance</t>
        </is>
      </c>
      <c r="B11" t="n">
        <v>0</v>
      </c>
      <c r="C11" t="n">
        <v>0</v>
      </c>
      <c r="D11" t="n">
        <v>0</v>
      </c>
      <c r="E11" t="inlineStr">
        <is>
          <t>Triple-confirmed $0.00 — see Sweep Confirmation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Confirmation Pass</t>
        </is>
      </c>
      <c r="C1" t="inlineStr">
        <is>
          <t>Confirmed By</t>
        </is>
      </c>
      <c r="D1" t="inlineStr">
        <is>
          <t>Balance</t>
        </is>
      </c>
      <c r="E1" t="inlineStr">
        <is>
          <t>Method</t>
        </is>
      </c>
      <c r="F1" t="inlineStr">
        <is>
          <t>Status</t>
        </is>
      </c>
    </row>
    <row r="2">
      <c r="A2" t="inlineStr">
        <is>
          <t>Halden</t>
        </is>
      </c>
      <c r="B2" t="n">
        <v>1</v>
      </c>
      <c r="C2" t="inlineStr">
        <is>
          <t>Ulrich</t>
        </is>
      </c>
      <c r="D2" t="n">
        <v>0</v>
      </c>
      <c r="E2" t="inlineStr">
        <is>
          <t>Sweep-list reconciliation</t>
        </is>
      </c>
      <c r="F2" t="inlineStr">
        <is>
          <t>Closed</t>
        </is>
      </c>
    </row>
    <row r="3">
      <c r="A3" t="inlineStr">
        <is>
          <t>Halden</t>
        </is>
      </c>
      <c r="B3" t="n">
        <v>2</v>
      </c>
      <c r="C3" t="inlineStr">
        <is>
          <t>Ulrich</t>
        </is>
      </c>
      <c r="D3" t="n">
        <v>0</v>
      </c>
      <c r="E3" t="inlineStr">
        <is>
          <t>Independent recheck against ledger</t>
        </is>
      </c>
      <c r="F3" t="inlineStr">
        <is>
          <t>Closed</t>
        </is>
      </c>
    </row>
    <row r="4">
      <c r="A4" t="inlineStr">
        <is>
          <t>Halden</t>
        </is>
      </c>
      <c r="B4" t="n">
        <v>3</v>
      </c>
      <c r="C4" t="inlineStr">
        <is>
          <t>Ulrich</t>
        </is>
      </c>
      <c r="D4" t="n">
        <v>0</v>
      </c>
      <c r="E4" t="inlineStr">
        <is>
          <t>Final confirmation prior to board package lock</t>
        </is>
      </c>
      <c r="F4" t="inlineStr">
        <is>
          <t>Closed</t>
        </is>
      </c>
    </row>
    <row r="5">
      <c r="A5" t="inlineStr">
        <is>
          <t>Northmoor</t>
        </is>
      </c>
      <c r="B5" t="n">
        <v>1</v>
      </c>
      <c r="C5" t="inlineStr">
        <is>
          <t>Ulrich</t>
        </is>
      </c>
      <c r="D5" t="n">
        <v>0</v>
      </c>
      <c r="E5" t="inlineStr">
        <is>
          <t>Sweep-list reconciliation</t>
        </is>
      </c>
      <c r="F5" t="inlineStr">
        <is>
          <t>Closed</t>
        </is>
      </c>
    </row>
    <row r="6">
      <c r="A6" t="inlineStr">
        <is>
          <t>Northmoor</t>
        </is>
      </c>
      <c r="B6" t="n">
        <v>2</v>
      </c>
      <c r="C6" t="inlineStr">
        <is>
          <t>Ulrich</t>
        </is>
      </c>
      <c r="D6" t="n">
        <v>0</v>
      </c>
      <c r="E6" t="inlineStr">
        <is>
          <t>Independent recheck against ledger</t>
        </is>
      </c>
      <c r="F6" t="inlineStr">
        <is>
          <t>Closed</t>
        </is>
      </c>
    </row>
    <row r="7">
      <c r="A7" t="inlineStr">
        <is>
          <t>Northmoor</t>
        </is>
      </c>
      <c r="B7" t="n">
        <v>3</v>
      </c>
      <c r="C7" t="inlineStr">
        <is>
          <t>Ulrich</t>
        </is>
      </c>
      <c r="D7" t="n">
        <v>0</v>
      </c>
      <c r="E7" t="inlineStr">
        <is>
          <t>Final confirmation prior to board package lock</t>
        </is>
      </c>
      <c r="F7" t="inlineStr">
        <is>
          <t>Closed</t>
        </is>
      </c>
    </row>
    <row r="8">
      <c r="A8" t="inlineStr">
        <is>
          <t>Verity Grain</t>
        </is>
      </c>
      <c r="B8" t="n">
        <v>1</v>
      </c>
      <c r="C8" t="inlineStr">
        <is>
          <t>Ulrich</t>
        </is>
      </c>
      <c r="D8" t="n">
        <v>0</v>
      </c>
      <c r="E8" t="inlineStr">
        <is>
          <t>Sweep-list reconciliation</t>
        </is>
      </c>
      <c r="F8" t="inlineStr">
        <is>
          <t>Closed</t>
        </is>
      </c>
    </row>
    <row r="9">
      <c r="A9" t="inlineStr">
        <is>
          <t>Verity Grain</t>
        </is>
      </c>
      <c r="B9" t="n">
        <v>2</v>
      </c>
      <c r="C9" t="inlineStr">
        <is>
          <t>Ulrich</t>
        </is>
      </c>
      <c r="D9" t="n">
        <v>0</v>
      </c>
      <c r="E9" t="inlineStr">
        <is>
          <t>Independent recheck against ledger</t>
        </is>
      </c>
      <c r="F9" t="inlineStr">
        <is>
          <t>Closed</t>
        </is>
      </c>
    </row>
    <row r="10">
      <c r="A10" t="inlineStr">
        <is>
          <t>Verity Grain</t>
        </is>
      </c>
      <c r="B10" t="n">
        <v>3</v>
      </c>
      <c r="C10" t="inlineStr">
        <is>
          <t>Ulrich</t>
        </is>
      </c>
      <c r="D10" t="n">
        <v>0</v>
      </c>
      <c r="E10" t="inlineStr">
        <is>
          <t>Final confirmation prior to board package lock</t>
        </is>
      </c>
      <c r="F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</t>
        </is>
      </c>
      <c r="B1" t="inlineStr">
        <is>
          <t>Status</t>
        </is>
      </c>
      <c r="C1" t="inlineStr">
        <is>
          <t>Exposure Impact</t>
        </is>
      </c>
      <c r="D1" t="inlineStr">
        <is>
          <t>Reserve Impact</t>
        </is>
      </c>
      <c r="E1" t="inlineStr">
        <is>
          <t>Flag</t>
        </is>
      </c>
    </row>
    <row r="2">
      <c r="A2" t="inlineStr">
        <is>
          <t>Sable Ridge</t>
        </is>
      </c>
      <c r="B2" t="inlineStr">
        <is>
          <t>Closed</t>
        </is>
      </c>
      <c r="C2" t="n">
        <v>0</v>
      </c>
      <c r="D2" t="n">
        <v>0</v>
      </c>
      <c r="E2" t="inlineStr">
        <is>
          <t>No further tracking</t>
        </is>
      </c>
    </row>
    <row r="3">
      <c r="A3" t="inlineStr">
        <is>
          <t>Deshmukh / Ardmore Administrative Note</t>
        </is>
      </c>
      <c r="B3" t="inlineStr">
        <is>
          <t>Closed (per Samir)</t>
        </is>
      </c>
      <c r="C3" t="n">
        <v>0</v>
      </c>
      <c r="D3" t="n">
        <v>0</v>
      </c>
      <c r="E3" t="inlineStr">
        <is>
          <t>Fully closed, no further tracking</t>
        </is>
      </c>
    </row>
    <row r="4">
      <c r="A4" t="inlineStr">
        <is>
          <t>Ardmore Chain-of-Access (Gideon flag)</t>
        </is>
      </c>
      <c r="B4" t="inlineStr">
        <is>
          <t>Open</t>
        </is>
      </c>
      <c r="C4" t="inlineStr">
        <is>
          <t>TBD pending Klara/Samir response</t>
        </is>
      </c>
      <c r="D4" t="inlineStr">
        <is>
          <t>None booked</t>
        </is>
      </c>
      <c r="E4" t="inlineStr">
        <is>
          <t>Distinct from Sable Ridge/Deshmukh — unresolved; non-privileged/non-client-facing per Klara agreement; ownership sits with Gideon pending EOD deadline before reassignment</t>
        </is>
      </c>
    </row>
    <row r="5">
      <c r="A5" t="inlineStr">
        <is>
          <t>Ardmore Good Standing Filing</t>
        </is>
      </c>
      <c r="B5" t="inlineStr">
        <is>
          <t>Open — reassigned</t>
        </is>
      </c>
      <c r="C5" t="inlineStr">
        <is>
          <t>TBD</t>
        </is>
      </c>
      <c r="D5" t="inlineStr">
        <is>
          <t>None booked</t>
        </is>
      </c>
      <c r="E5" t="inlineStr">
        <is>
          <t>Ownership transferred to Lucien after Samir's non-response through EOD; sweep log updated by Thandiwe; sole open item and only source of possible movement on board figure</t>
        </is>
      </c>
    </row>
    <row r="6">
      <c r="A6" t="inlineStr">
        <is>
          <t>Whitfield Counsel Response</t>
        </is>
      </c>
      <c r="B6" t="inlineStr">
        <is>
          <t>Pending</t>
        </is>
      </c>
      <c r="C6" t="inlineStr">
        <is>
          <t>TBD</t>
        </is>
      </c>
      <c r="D6" t="inlineStr">
        <is>
          <t>None booked</t>
        </is>
      </c>
      <c r="E6" t="inlineStr">
        <is>
          <t>Samir to flag Bennett same-day on any response</t>
        </is>
      </c>
    </row>
    <row r="7">
      <c r="A7" t="inlineStr">
        <is>
          <t>Sweep-List Process Gap (call format)</t>
        </is>
      </c>
      <c r="B7" t="inlineStr">
        <is>
          <t>Open — raised by Lucien 14:00</t>
        </is>
      </c>
      <c r="C7" t="n">
        <v>0</v>
      </c>
      <c r="D7" t="n">
        <v>0</v>
      </c>
      <c r="E7" t="inlineStr">
        <is>
          <t>Ownership-gap surfacing issue; independent of Halden/Northmoor/Verity Grain resolution</t>
        </is>
      </c>
    </row>
    <row r="8">
      <c r="A8" t="inlineStr">
        <is>
          <t>Noor Consolidation Point</t>
        </is>
      </c>
      <c r="B8" t="inlineStr">
        <is>
          <t>Deferred</t>
        </is>
      </c>
      <c r="C8" t="n">
        <v>0</v>
      </c>
      <c r="D8" t="n">
        <v>0</v>
      </c>
      <c r="E8" t="inlineStr">
        <is>
          <t>To be handled separately, after ownership-gap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Board Package Figure</t>
        </is>
      </c>
      <c r="C1" t="inlineStr">
        <is>
          <t>This Schedule</t>
        </is>
      </c>
      <c r="D1" t="inlineStr">
        <is>
          <t>Variance</t>
        </is>
      </c>
      <c r="E1" t="inlineStr">
        <is>
          <t>Reconciled</t>
        </is>
      </c>
    </row>
    <row r="2">
      <c r="A2" t="inlineStr">
        <is>
          <t>Reserve Figure</t>
        </is>
      </c>
      <c r="B2" t="n">
        <v>6400000</v>
      </c>
      <c r="C2">
        <f>Summary!C8</f>
        <v/>
      </c>
      <c r="D2">
        <f>B2-C2</f>
        <v/>
      </c>
      <c r="E2" t="inlineStr">
        <is>
          <t>Yes — independently cross-checked with Ulrich Bergmann and confirmed by Bennett Ashworth, consistent with doc-000378</t>
        </is>
      </c>
    </row>
    <row r="3">
      <c r="A3" t="inlineStr">
        <is>
          <t>Halden/Northmoor/Verity Grain Combined Sweep</t>
        </is>
      </c>
      <c r="B3" t="n">
        <v>0</v>
      </c>
      <c r="C3">
        <f>SUM(Summary!C9:C11)</f>
        <v/>
      </c>
      <c r="D3">
        <f>B3-C3</f>
        <v/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