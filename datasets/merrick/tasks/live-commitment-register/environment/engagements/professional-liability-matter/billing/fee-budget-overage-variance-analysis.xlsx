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Summary" sheetId="1" state="visible" r:id="rId1"/>
    <sheet xmlns:r="http://schemas.openxmlformats.org/officeDocument/2006/relationships" name="Variance Detail — Ardmore &amp; WIP" sheetId="2" state="visible" r:id="rId2"/>
    <sheet xmlns:r="http://schemas.openxmlformats.org/officeDocument/2006/relationships" name="Panel Compliance Q&amp;A 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Approved Budget ($)</t>
        </is>
      </c>
      <c r="C1" t="inlineStr">
        <is>
          <t>Actual/Projected ($)</t>
        </is>
      </c>
      <c r="D1" t="inlineStr">
        <is>
          <t>Variance ($)</t>
        </is>
      </c>
      <c r="E1" t="inlineStr">
        <is>
          <t>Variance (%)</t>
        </is>
      </c>
      <c r="F1" t="inlineStr">
        <is>
          <t>Driver</t>
        </is>
      </c>
      <c r="G1" t="inlineStr">
        <is>
          <t>Support Reference</t>
        </is>
      </c>
    </row>
    <row r="2">
      <c r="A2" t="inlineStr">
        <is>
          <t>Reserve Analysis &amp; Board Exposure Memo (Sections I, VI, VII, VIII)</t>
        </is>
      </c>
      <c r="B2" t="n">
        <v>45000</v>
      </c>
      <c r="C2" t="n">
        <v>58500</v>
      </c>
      <c r="D2">
        <f>C2-B2</f>
        <v/>
      </c>
      <c r="E2">
        <f>D2/B2</f>
        <v/>
      </c>
      <c r="F2" t="inlineStr">
        <is>
          <t>Finalized reserve figure reconciled against board exposure quantitative support schedule; additional reconciliation cycles required</t>
        </is>
      </c>
      <c r="G2" t="inlineStr">
        <is>
          <t>doc-000333; doc-000346</t>
        </is>
      </c>
    </row>
    <row r="3">
      <c r="A3" t="inlineStr">
        <is>
          <t>WIP and Realization Report — Cycle Close (Sandhurst status resolution)</t>
        </is>
      </c>
      <c r="B3" t="n">
        <v>12000</v>
      </c>
      <c r="C3" t="n">
        <v>15800</v>
      </c>
      <c r="D3">
        <f>C3-B3</f>
        <v/>
      </c>
      <c r="E3">
        <f>D3/B3</f>
        <v/>
      </c>
      <c r="F3" t="inlineStr">
        <is>
          <t>Sandhurst time-status question required additional review before cycle close could be finalized</t>
        </is>
      </c>
      <c r="G3" t="inlineStr">
        <is>
          <t>doc-000348</t>
        </is>
      </c>
    </row>
    <row r="4">
      <c r="A4" t="inlineStr">
        <is>
          <t>Ardmore — Enforcement Inquiry / Chain-of-Access Follow-Up</t>
        </is>
      </c>
      <c r="B4" t="n">
        <v>8000</v>
      </c>
      <c r="C4" t="n">
        <v>13250</v>
      </c>
      <c r="D4">
        <f>C4-B4</f>
        <v/>
      </c>
      <c r="E4">
        <f>D4/B4</f>
        <v/>
      </c>
      <c r="F4" t="inlineStr">
        <is>
          <t>Repeated owner-unresponsive escalations (Samir) required four follow-ups through Gideon before substantive response; discrete follow-up item remains open</t>
        </is>
      </c>
      <c r="G4" t="inlineStr">
        <is>
          <t>doc-000348</t>
        </is>
      </c>
    </row>
    <row r="5">
      <c r="A5" t="inlineStr">
        <is>
          <t>Pryor Deposition Summary — Redline and Citation Pass</t>
        </is>
      </c>
      <c r="B5" t="n">
        <v>9500</v>
      </c>
      <c r="C5" t="n">
        <v>16200</v>
      </c>
      <c r="D5">
        <f>C5-B5</f>
        <v/>
      </c>
      <c r="E5">
        <f>D5/B5</f>
        <v/>
      </c>
      <c r="F5" t="inlineStr">
        <is>
          <t>Heavy redline pass tightening characterizations to record-anchored statements and correcting citation placeholders; flagged admission and impeachment inconsistency required senior partner review time beyond original scope</t>
        </is>
      </c>
      <c r="G5" t="inlineStr">
        <is>
          <t>doc-000344</t>
        </is>
      </c>
    </row>
    <row r="6">
      <c r="A6" t="inlineStr">
        <is>
          <t>Second Request for Production — Response, Scope, and Objections</t>
        </is>
      </c>
      <c r="B6" t="n">
        <v>22000</v>
      </c>
      <c r="C6" t="n">
        <v>27600</v>
      </c>
      <c r="D6">
        <f>C6-B6</f>
        <v/>
      </c>
      <c r="E6">
        <f>D6/B6</f>
        <v/>
      </c>
      <c r="F6" t="inlineStr">
        <is>
          <t>Deadline clarification (14 days from issuance), meet-and-confer sequencing analysis, and covenant-amendment-overlap review</t>
        </is>
      </c>
      <c r="G6" t="inlineStr">
        <is>
          <t>Response to Second Request for Production memo; covenant-amendment-analysis memo</t>
        </is>
      </c>
    </row>
    <row r="7">
      <c r="A7" t="inlineStr">
        <is>
          <t>Cotswold Committee Memo — Sign-Off Coordination</t>
        </is>
      </c>
      <c r="B7" t="n">
        <v>4000</v>
      </c>
      <c r="C7" t="n">
        <v>5100</v>
      </c>
      <c r="D7">
        <f>C7-B7</f>
        <v/>
      </c>
      <c r="E7">
        <f>D7/B7</f>
        <v/>
      </c>
      <c r="F7" t="inlineStr">
        <is>
          <t>Escalation coordination on sign-off delay; Lucien assigned with end-of-day escalation path</t>
        </is>
      </c>
      <c r="G7" t="inlineStr">
        <is>
          <t>internal correspondence — Rosalie chase</t>
        </is>
      </c>
    </row>
    <row r="8">
      <c r="A8" t="inlineStr">
        <is>
          <t>Deshmukh / Ardmore Closure — Documentation and Sweep List Update</t>
        </is>
      </c>
      <c r="B8" t="n">
        <v>3500</v>
      </c>
      <c r="C8" t="n">
        <v>5900</v>
      </c>
      <c r="D8">
        <f>C8-B8</f>
        <v/>
      </c>
      <c r="E8">
        <f>D8/B8</f>
        <v/>
      </c>
      <c r="F8" t="inlineStr">
        <is>
          <t>Closure documentation for good-standing filing and chain-of-access routing, logged as two separate lines both closed 12/12</t>
        </is>
      </c>
      <c r="G8" t="inlineStr">
        <is>
          <t>doc-000348 Sweep List</t>
        </is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D9/B9</f>
        <v/>
      </c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Status</t>
        </is>
      </c>
      <c r="D1" t="inlineStr">
        <is>
          <t>Owner</t>
        </is>
      </c>
      <c r="E1" t="inlineStr">
        <is>
          <t>Hours Variance</t>
        </is>
      </c>
      <c r="F1" t="inlineStr">
        <is>
          <t>Notes</t>
        </is>
      </c>
    </row>
    <row r="2">
      <c r="A2" t="inlineStr">
        <is>
          <t>12/12</t>
        </is>
      </c>
      <c r="B2" t="inlineStr">
        <is>
          <t>Ardmore — Good Standing Filing</t>
        </is>
      </c>
      <c r="C2" t="inlineStr">
        <is>
          <t>Closed</t>
        </is>
      </c>
      <c r="D2" t="inlineStr">
        <is>
          <t>Bennett Ashworth</t>
        </is>
      </c>
      <c r="E2" t="n">
        <v>3.5</v>
      </c>
      <c r="F2" t="inlineStr">
        <is>
          <t>Logged as separate line from chain-of-access routing per confirmed instruction; same closure date, distinct matter</t>
        </is>
      </c>
    </row>
    <row r="3">
      <c r="A3" t="inlineStr">
        <is>
          <t>12/12</t>
        </is>
      </c>
      <c r="B3" t="inlineStr">
        <is>
          <t>Ardmore — Chain-of-Access Routing</t>
        </is>
      </c>
      <c r="C3" t="inlineStr">
        <is>
          <t>Closed</t>
        </is>
      </c>
      <c r="D3" t="inlineStr">
        <is>
          <t>Samir</t>
        </is>
      </c>
      <c r="E3" t="n">
        <v>6.2</v>
      </c>
      <c r="F3" t="inlineStr">
        <is>
          <t>Separate matter from good-standing filing; closed same date; residual follow-up flagged as discrete open task, not blocking closure</t>
        </is>
      </c>
    </row>
    <row r="4">
      <c r="A4" t="inlineStr">
        <is>
          <t>Ongoing</t>
        </is>
      </c>
      <c r="B4" t="inlineStr">
        <is>
          <t>Sandhurst Time-Status Question</t>
        </is>
      </c>
      <c r="C4" t="inlineStr">
        <is>
          <t>Resolved — No Outstanding Items</t>
        </is>
      </c>
      <c r="D4" t="inlineStr">
        <is>
          <t>Samir (confirmed)</t>
        </is>
      </c>
      <c r="E4" t="n">
        <v>4.8</v>
      </c>
      <c r="F4" t="inlineStr">
        <is>
          <t>Cleared WIP/Realization Report as final for cycle close per confirmed inputs</t>
        </is>
      </c>
    </row>
    <row r="5">
      <c r="A5" t="inlineStr">
        <is>
          <t>Ongoing</t>
        </is>
      </c>
      <c r="B5" t="inlineStr">
        <is>
          <t>Reserve Figure Reconciliation</t>
        </is>
      </c>
      <c r="C5" t="inlineStr">
        <is>
          <t>Finalized</t>
        </is>
      </c>
      <c r="D5" t="inlineStr">
        <is>
          <t>Bennett Ashworth / Samir</t>
        </is>
      </c>
      <c r="E5" t="n">
        <v>9</v>
      </c>
      <c r="F5" t="inlineStr">
        <is>
          <t>Reconciled against doc-000346 board exposure quantitative support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Raised by Panel</t>
        </is>
      </c>
      <c r="B1" t="inlineStr">
        <is>
          <t>Response</t>
        </is>
      </c>
      <c r="C1" t="inlineStr">
        <is>
          <t>Support Document(s)</t>
        </is>
      </c>
    </row>
    <row r="2">
      <c r="A2" t="inlineStr">
        <is>
          <t>Why does professional liability matter show a variance above approved budget?</t>
        </is>
      </c>
      <c r="B2" t="inlineStr">
        <is>
          <t>Variance driven by five discrete items: reserve reconciliation finalization, WIP/realization cycle-close resolution, Ardmore escalation cycle, deposition-summary redline pass, and Second Request scope/objection analysis. See Variance Summary tab for itemized dollar and percentage detail by line.</t>
        </is>
      </c>
      <c r="C2" t="inlineStr">
        <is>
          <t>doc-000333; doc-000346; doc-000344; doc-000348</t>
        </is>
      </c>
    </row>
    <row r="3">
      <c r="A3" t="inlineStr">
        <is>
          <t>Has the reserve figure changed as a result of these overages?</t>
        </is>
      </c>
      <c r="B3" t="inlineStr">
        <is>
          <t>No. Reconciliation confirms no change to liability, damages, or coverage posture; overage reflects time to finalize and reconcile the existing figure, not a change in the figure itself.</t>
        </is>
      </c>
      <c r="C3" t="inlineStr">
        <is>
          <t>doc-000333; doc-000346</t>
        </is>
      </c>
    </row>
    <row r="4">
      <c r="A4" t="inlineStr">
        <is>
          <t>Is the Ardmore item still open and driving further overage risk?</t>
        </is>
      </c>
      <c r="B4" t="inlineStr">
        <is>
          <t>Chain-of-access follow-up remains a discrete open item under Samir's ownership; good-standing filing is closed. Reassignment of ownership was threatened if no response was received; monitor next cycle for further variance.</t>
        </is>
      </c>
      <c r="C4" t="inlineStr">
        <is>
          <t>doc-000348</t>
        </is>
      </c>
    </row>
    <row r="5">
      <c r="A5" t="inlineStr">
        <is>
          <t>Does the Second Request overage reflect scope creep?</t>
        </is>
      </c>
      <c r="B5" t="inlineStr">
        <is>
          <t>No additional scope was undertaken; overage reflects deadline clarification (14 days, not three weeks) and confirmation that meet-and-confer window is already built into the production schedule, plus confirmation of no covenant-amendment overlap requiring review.</t>
        </is>
      </c>
      <c r="C5" t="inlineStr">
        <is>
          <t>Response to Second Request for Production memo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