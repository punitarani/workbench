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weep List - Open Items" sheetId="2" state="visible" r:id="rId2"/>
    <sheet xmlns:r="http://schemas.openxmlformats.org/officeDocument/2006/relationships" name="Realiz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Client</t>
        </is>
      </c>
      <c r="C1" t="inlineStr">
        <is>
          <t>WIP Beginning</t>
        </is>
      </c>
      <c r="D1" t="inlineStr">
        <is>
          <t>New WIP This Cycle</t>
        </is>
      </c>
      <c r="E1" t="inlineStr">
        <is>
          <t>Billed This Cycle</t>
        </is>
      </c>
      <c r="F1" t="inlineStr">
        <is>
          <t>WIP Ending</t>
        </is>
      </c>
      <c r="G1" t="inlineStr">
        <is>
          <t>Realization %</t>
        </is>
      </c>
      <c r="H1" t="inlineStr">
        <is>
          <t>Status</t>
        </is>
      </c>
    </row>
    <row r="2">
      <c r="A2" t="inlineStr">
        <is>
          <t>Sandhurst — General Matters</t>
        </is>
      </c>
      <c r="B2" t="inlineStr">
        <is>
          <t>Sandhurst</t>
        </is>
      </c>
      <c r="C2" t="n">
        <v>184250</v>
      </c>
      <c r="D2" t="n">
        <v>42100</v>
      </c>
      <c r="E2" t="n">
        <v>226350</v>
      </c>
      <c r="F2">
        <f>C2+D2-E2</f>
        <v/>
      </c>
      <c r="G2">
        <f>E2/(C2+D2)</f>
        <v/>
      </c>
      <c r="H2" t="inlineStr">
        <is>
          <t>Closed — time status confirmed resolved for cycle close, no outstanding items, final per Samir's confirmed inputs</t>
        </is>
      </c>
    </row>
    <row r="3">
      <c r="A3" t="inlineStr">
        <is>
          <t>Sable Ridge</t>
        </is>
      </c>
      <c r="B3" t="inlineStr">
        <is>
          <t>Sable Ridge</t>
        </is>
      </c>
      <c r="C3" t="n">
        <v>96400</v>
      </c>
      <c r="D3" t="n">
        <v>0</v>
      </c>
      <c r="E3" t="n">
        <v>96400</v>
      </c>
      <c r="F3">
        <f>C3+D3-E3</f>
        <v/>
      </c>
      <c r="G3">
        <f>E3/(C3+D3)</f>
        <v/>
      </c>
      <c r="H3" t="inlineStr">
        <is>
          <t>Closed — fully closed, no further action needed</t>
        </is>
      </c>
    </row>
    <row r="4">
      <c r="A4" t="inlineStr">
        <is>
          <t>Deshmukh / Ardmore</t>
        </is>
      </c>
      <c r="B4" t="inlineStr">
        <is>
          <t>Ardmore</t>
        </is>
      </c>
      <c r="C4" t="n">
        <v>128900</v>
      </c>
      <c r="D4" t="n">
        <v>18750</v>
      </c>
      <c r="E4" t="n">
        <v>118600</v>
      </c>
      <c r="F4">
        <f>C4+D4-E4</f>
        <v/>
      </c>
      <c r="G4">
        <f>E4/(C4+D4)</f>
        <v/>
      </c>
      <c r="H4" t="inlineStr">
        <is>
          <t>Closed — Samir confirmed as owner; carryover to next cycle</t>
        </is>
      </c>
    </row>
    <row r="5">
      <c r="A5" t="inlineStr">
        <is>
          <t>Ardmore — Enforcement Inquiry</t>
        </is>
      </c>
      <c r="B5" t="inlineStr">
        <is>
          <t>Ardmore</t>
        </is>
      </c>
      <c r="C5" t="n">
        <v>211300</v>
      </c>
      <c r="D5" t="n">
        <v>54200</v>
      </c>
      <c r="E5" t="n">
        <v>165000</v>
      </c>
      <c r="F5">
        <f>C5+D5-E5</f>
        <v/>
      </c>
      <c r="G5">
        <f>E5/(C5+D5)</f>
        <v/>
      </c>
      <c r="H5" t="inlineStr">
        <is>
          <t>Open — chain-of-access issue remains a discrete follow-up task; ownership reassigned to Lucien after Samir remained non-responsive through EOD, per Bennett's directive; sweep log updated by Thandiwe accordingly</t>
        </is>
      </c>
    </row>
    <row r="6">
      <c r="A6" t="inlineStr">
        <is>
          <t>Halden</t>
        </is>
      </c>
      <c r="B6" t="inlineStr">
        <is>
          <t>Halden</t>
        </is>
      </c>
      <c r="C6" t="n">
        <v>0</v>
      </c>
      <c r="D6" t="n">
        <v>0</v>
      </c>
      <c r="E6" t="n">
        <v>0</v>
      </c>
      <c r="F6">
        <f>C6+D6-E6</f>
        <v/>
      </c>
      <c r="G6">
        <f>IF((C6+D6)=0,1,E6/(C6+D6))</f>
        <v/>
      </c>
      <c r="H6" t="inlineStr">
        <is>
          <t>Zero balance — reflected in board exposure package, reconciled against doc-000346</t>
        </is>
      </c>
    </row>
    <row r="7">
      <c r="A7" t="inlineStr">
        <is>
          <t>Northmoor</t>
        </is>
      </c>
      <c r="B7" t="inlineStr">
        <is>
          <t>Northmoor</t>
        </is>
      </c>
      <c r="C7" t="n">
        <v>0</v>
      </c>
      <c r="D7" t="n">
        <v>0</v>
      </c>
      <c r="E7" t="n">
        <v>0</v>
      </c>
      <c r="F7">
        <f>C7+D7-E7</f>
        <v/>
      </c>
      <c r="G7">
        <f>IF((C7+D7)=0,1,E7/(C7+D7))</f>
        <v/>
      </c>
      <c r="H7" t="inlineStr">
        <is>
          <t>Zero balance — reflected in board exposure package, reconciled against doc-000346</t>
        </is>
      </c>
    </row>
    <row r="8">
      <c r="A8" t="inlineStr">
        <is>
          <t>Verity Grain</t>
        </is>
      </c>
      <c r="B8" t="inlineStr">
        <is>
          <t>Verity Grain</t>
        </is>
      </c>
      <c r="C8" t="n">
        <v>0</v>
      </c>
      <c r="D8" t="n">
        <v>0</v>
      </c>
      <c r="E8" t="n">
        <v>0</v>
      </c>
      <c r="F8">
        <f>C8+D8-E8</f>
        <v/>
      </c>
      <c r="G8">
        <f>IF((C8+D8)=0,1,E8/(C8+D8))</f>
        <v/>
      </c>
      <c r="H8" t="inlineStr">
        <is>
          <t>Zero balance — reflected in board exposure package, reconciled against doc-000346</t>
        </is>
      </c>
    </row>
    <row r="9">
      <c r="A9" t="inlineStr">
        <is>
          <t>Marguerite / Desmond</t>
        </is>
      </c>
      <c r="B9" t="inlineStr">
        <is>
          <t>Marguerite</t>
        </is>
      </c>
      <c r="C9" t="n">
        <v>87600</v>
      </c>
      <c r="D9" t="n">
        <v>15400</v>
      </c>
      <c r="E9" t="n">
        <v>62300</v>
      </c>
      <c r="F9">
        <f>C9+D9-E9</f>
        <v/>
      </c>
      <c r="G9">
        <f>E9/(C9+D9)</f>
        <v/>
      </c>
      <c r="H9" t="inlineStr">
        <is>
          <t>Open — awaiting Desmond's marked-up line-item detail; corrected invoice due end of week regardless</t>
        </is>
      </c>
    </row>
    <row r="10">
      <c r="A10" t="inlineStr">
        <is>
          <t>TOTAL</t>
        </is>
      </c>
      <c r="B10" t="inlineStr"/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E10/(C10+D10)</f>
        <v/>
      </c>
      <c r="H10" t="inlineStr">
        <is>
          <t>Finalized for cycle close — WIP/realization inputs confirmed by Samir, reconciled against doc-000346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Raised By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Sweep-list call format not surfacing ownership gaps</t>
        </is>
      </c>
      <c r="B2" t="inlineStr">
        <is>
          <t>Lucien</t>
        </is>
      </c>
      <c r="C2" t="inlineStr">
        <is>
          <t>To be raised 14:00</t>
        </is>
      </c>
      <c r="D2" t="inlineStr">
        <is>
          <t>Process question independent of Deshmukh/Ardmore resolution; remains on sweep list</t>
        </is>
      </c>
    </row>
    <row r="3">
      <c r="A3" t="inlineStr">
        <is>
          <t>Noor's consolidation point</t>
        </is>
      </c>
      <c r="B3" t="inlineStr">
        <is>
          <t>Noor</t>
        </is>
      </c>
      <c r="C3" t="inlineStr">
        <is>
          <t>Deferred</t>
        </is>
      </c>
      <c r="D3" t="inlineStr">
        <is>
          <t>To be handled separately, after ownership-gap flag is addressed</t>
        </is>
      </c>
    </row>
    <row r="4">
      <c r="A4" t="inlineStr">
        <is>
          <t>Ardmore chain-of-access issue</t>
        </is>
      </c>
      <c r="B4" t="inlineStr">
        <is>
          <t>Gideon</t>
        </is>
      </c>
      <c r="C4" t="inlineStr">
        <is>
          <t>Open</t>
        </is>
      </c>
      <c r="D4" t="inlineStr">
        <is>
          <t>Klara's requests to Samir/Deshmukh's team unanswered; distinct from closed Sable Ridge/Deshmukh matter; Deshmukh/Ardmore itself closed with Samir as owner, but this residual follow-up remains a discrete open task; ownership reassigned to Lucien after Samir remained non-responsive through EOD per Bennett's directive; Thandiwe updating sweep log accordingly</t>
        </is>
      </c>
    </row>
    <row r="5">
      <c r="A5" t="inlineStr">
        <is>
          <t>Whitfield counsel response</t>
        </is>
      </c>
      <c r="B5" t="inlineStr">
        <is>
          <t>Samir (monitoring)</t>
        </is>
      </c>
      <c r="C5" t="inlineStr">
        <is>
          <t>Pending</t>
        </is>
      </c>
      <c r="D5" t="inlineStr">
        <is>
          <t>Flag Bennett directly, same-day, on any response received</t>
        </is>
      </c>
    </row>
    <row r="6">
      <c r="A6" t="inlineStr">
        <is>
          <t>Cotswold committee memo sign-off</t>
        </is>
      </c>
      <c r="B6" t="inlineStr">
        <is>
          <t>Lucien</t>
        </is>
      </c>
      <c r="C6" t="inlineStr">
        <is>
          <t>In progress</t>
        </is>
      </c>
      <c r="D6" t="inlineStr">
        <is>
          <t>Confirmed remains with Lucien per plan; escalation path in place; no action needed from Bennett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Note</t>
        </is>
      </c>
    </row>
    <row r="2">
      <c r="A2" t="inlineStr">
        <is>
          <t>Sandhurst — General Matters</t>
        </is>
      </c>
      <c r="B2" t="inlineStr">
        <is>
          <t>Time status confirmed closed clean for the cycle, no billing exceptions; Sandhurst time-status question resolved with no outstanding items, clearing this report as final for the cycle close per Samir's confirmed inputs.</t>
        </is>
      </c>
    </row>
    <row r="3">
      <c r="A3" t="inlineStr">
        <is>
          <t>Deshmukh / Ardmore</t>
        </is>
      </c>
      <c r="B3" t="inlineStr">
        <is>
          <t>Matter-status items (good standing, estoppel, MIP mechanics) properly remain with Quentin/Dov outside billing scope. Matter confirmed closed with Samir as owner.</t>
        </is>
      </c>
    </row>
    <row r="4">
      <c r="A4" t="inlineStr">
        <is>
          <t>Marguerite / Desmond</t>
        </is>
      </c>
      <c r="B4" t="inlineStr">
        <is>
          <t>Fee overage breakdown against approved budget prepared preliminarily; will incorporate Desmond's marked-up detail if received in time, corrected invoice ships end of week regardless.</t>
        </is>
      </c>
    </row>
    <row r="5">
      <c r="A5" t="inlineStr">
        <is>
          <t>Halden / Northmoor / Verity Grain</t>
        </is>
      </c>
      <c r="B5" t="inlineStr">
        <is>
          <t>No further billing chase needed; zero-balance status already reflected in board exposure package, reserve figures finalized and reconciled against doc-000346.</t>
        </is>
      </c>
    </row>
    <row r="6">
      <c r="A6" t="inlineStr">
        <is>
          <t>Board Exposure Reconciliation</t>
        </is>
      </c>
      <c r="B6" t="inlineStr">
        <is>
          <t>Reserve figures for the professional liability matter finalized and reconciled against the board exposure quantitative support schedule (doc-000346), per doc-000333 Section I and VI updates; WIP and realization inputs confirmed by Samir; reconciliation independently cross-checked with Ulrich Bergmann and confirmed by Bennett Ashworth, strengthening the finalized reserve position ahead of Thursday's board meeting. No change to underlying liability, damages, or coverage posture as a result of this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