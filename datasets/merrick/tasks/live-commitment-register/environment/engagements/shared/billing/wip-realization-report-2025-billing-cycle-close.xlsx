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Realization Detail" sheetId="2" state="visible" r:id="rId2"/>
    <sheet xmlns:r="http://schemas.openxmlformats.org/officeDocument/2006/relationships" name="Exception Log" sheetId="3" state="visible" r:id="rId3"/>
    <sheet xmlns:r="http://schemas.openxmlformats.org/officeDocument/2006/relationships" name="Distrib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WIP Beginning</t>
        </is>
      </c>
      <c r="D1" t="inlineStr">
        <is>
          <t>Time Added</t>
        </is>
      </c>
      <c r="E1" t="inlineStr">
        <is>
          <t>Prebill Released</t>
        </is>
      </c>
      <c r="F1" t="inlineStr">
        <is>
          <t>Write-offs</t>
        </is>
      </c>
      <c r="G1" t="inlineStr">
        <is>
          <t>WIP Ending</t>
        </is>
      </c>
      <c r="H1" t="inlineStr">
        <is>
          <t>Exception Amount</t>
        </is>
      </c>
      <c r="I1" t="inlineStr">
        <is>
          <t>Exception Status</t>
        </is>
      </c>
    </row>
    <row r="2">
      <c r="A2" t="inlineStr">
        <is>
          <t>Halden</t>
        </is>
      </c>
      <c r="B2" t="inlineStr">
        <is>
          <t>General</t>
        </is>
      </c>
      <c r="C2" t="n">
        <v>12450</v>
      </c>
      <c r="D2" t="n">
        <v>0</v>
      </c>
      <c r="E2" t="n">
        <v>0</v>
      </c>
      <c r="F2" t="n">
        <v>0</v>
      </c>
      <c r="G2" t="n">
        <v>12450</v>
      </c>
      <c r="H2" t="n">
        <v>0</v>
      </c>
      <c r="I2" t="inlineStr">
        <is>
          <t>Released — folded into board exposure package</t>
        </is>
      </c>
    </row>
    <row r="3">
      <c r="A3" t="inlineStr">
        <is>
          <t>Northmoor</t>
        </is>
      </c>
      <c r="B3" t="inlineStr">
        <is>
          <t>General</t>
        </is>
      </c>
      <c r="C3" t="n">
        <v>8760</v>
      </c>
      <c r="D3" t="n">
        <v>0</v>
      </c>
      <c r="E3" t="n">
        <v>0</v>
      </c>
      <c r="F3" t="n">
        <v>0</v>
      </c>
      <c r="G3" t="n">
        <v>8760</v>
      </c>
      <c r="H3" t="n">
        <v>0</v>
      </c>
      <c r="I3" t="inlineStr">
        <is>
          <t>Released — folded into board exposure package</t>
        </is>
      </c>
    </row>
    <row r="4">
      <c r="A4" t="inlineStr">
        <is>
          <t>Verity Grain</t>
        </is>
      </c>
      <c r="B4" t="inlineStr">
        <is>
          <t>General</t>
        </is>
      </c>
      <c r="C4" t="n">
        <v>15320</v>
      </c>
      <c r="D4" t="n">
        <v>0</v>
      </c>
      <c r="E4" t="n">
        <v>0</v>
      </c>
      <c r="F4" t="n">
        <v>0</v>
      </c>
      <c r="G4" t="n">
        <v>15320</v>
      </c>
      <c r="H4" t="n">
        <v>0</v>
      </c>
      <c r="I4" t="inlineStr">
        <is>
          <t>Released — folded into board exposure package</t>
        </is>
      </c>
    </row>
    <row r="5">
      <c r="A5" t="inlineStr">
        <is>
          <t>Coastal Meridian</t>
        </is>
      </c>
      <c r="B5" t="inlineStr">
        <is>
          <t>Ravenna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Closed — no outstanding balance, backup coverage logged</t>
        </is>
      </c>
    </row>
    <row r="6">
      <c r="A6" t="inlineStr">
        <is>
          <t>Sandhurst</t>
        </is>
      </c>
      <c r="B6" t="inlineStr">
        <is>
          <t>General</t>
        </is>
      </c>
      <c r="C6" t="n">
        <v>22110.75</v>
      </c>
      <c r="D6" t="n">
        <v>0</v>
      </c>
      <c r="E6" t="n">
        <v>0</v>
      </c>
      <c r="F6" t="n">
        <v>0</v>
      </c>
      <c r="G6" t="n">
        <v>22110.75</v>
      </c>
      <c r="I6" t="inlineStr">
        <is>
          <t>Not an exception — time status confirmed clean by Samir Bhatt, resolved this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Fees Billed</t>
        </is>
      </c>
      <c r="D1" t="inlineStr">
        <is>
          <t>Fees Collected</t>
        </is>
      </c>
      <c r="E1" t="inlineStr">
        <is>
          <t>Realization %</t>
        </is>
      </c>
      <c r="F1" t="inlineStr">
        <is>
          <t>Prebill Status</t>
        </is>
      </c>
      <c r="G1" t="inlineStr">
        <is>
          <t>Held Reason</t>
        </is>
      </c>
    </row>
    <row r="2">
      <c r="A2" t="inlineStr">
        <is>
          <t>Halden</t>
        </is>
      </c>
      <c r="B2" t="inlineStr">
        <is>
          <t>General</t>
        </is>
      </c>
      <c r="C2" t="n">
        <v>0</v>
      </c>
      <c r="D2" t="n">
        <v>0</v>
      </c>
      <c r="E2">
        <f>IF(C2=0,"N/A",D2/C2)</f>
        <v/>
      </c>
      <c r="F2" t="inlineStr">
        <is>
          <t>Not released</t>
        </is>
      </c>
      <c r="G2" t="inlineStr">
        <is>
          <t>Partner has not edited or confirmed no changes</t>
        </is>
      </c>
    </row>
    <row r="3">
      <c r="A3" t="inlineStr">
        <is>
          <t>Northmoor</t>
        </is>
      </c>
      <c r="B3" t="inlineStr">
        <is>
          <t>General</t>
        </is>
      </c>
      <c r="C3" t="n">
        <v>0</v>
      </c>
      <c r="D3" t="n">
        <v>0</v>
      </c>
      <c r="E3">
        <f>IF(C3=0,"N/A",D3/C3)</f>
        <v/>
      </c>
      <c r="F3" t="inlineStr">
        <is>
          <t>Not released</t>
        </is>
      </c>
      <c r="G3" t="inlineStr">
        <is>
          <t>Partner has not edited or confirmed no changes</t>
        </is>
      </c>
    </row>
    <row r="4">
      <c r="A4" t="inlineStr">
        <is>
          <t>Verity Grain</t>
        </is>
      </c>
      <c r="B4" t="inlineStr">
        <is>
          <t>General</t>
        </is>
      </c>
      <c r="C4" t="n">
        <v>0</v>
      </c>
      <c r="D4" t="n">
        <v>0</v>
      </c>
      <c r="E4">
        <f>IF(C4=0,"N/A",D4/C4)</f>
        <v/>
      </c>
      <c r="F4" t="inlineStr">
        <is>
          <t>Not released</t>
        </is>
      </c>
      <c r="G4" t="inlineStr">
        <is>
          <t>Partner has not edited or confirmed no changes</t>
        </is>
      </c>
    </row>
    <row r="5">
      <c r="A5" t="inlineStr">
        <is>
          <t>Coastal Meridian</t>
        </is>
      </c>
      <c r="B5" t="inlineStr">
        <is>
          <t>Ravenna</t>
        </is>
      </c>
      <c r="C5" t="n">
        <v>0</v>
      </c>
      <c r="D5" t="n">
        <v>0</v>
      </c>
      <c r="E5">
        <f>IF(C5=0,"N/A",D5/C5)</f>
        <v/>
      </c>
      <c r="F5" t="inlineStr">
        <is>
          <t>Released</t>
        </is>
      </c>
      <c r="G5" t="inlineStr">
        <is>
          <t>N/A — matter closed</t>
        </is>
      </c>
    </row>
    <row r="6">
      <c r="A6" t="inlineStr">
        <is>
          <t>Sandhurst</t>
        </is>
      </c>
      <c r="B6" t="inlineStr">
        <is>
          <t>General</t>
        </is>
      </c>
      <c r="C6" t="n">
        <v>18400</v>
      </c>
      <c r="D6" t="n">
        <v>16820.5</v>
      </c>
      <c r="E6">
        <f>D6/C6</f>
        <v/>
      </c>
      <c r="F6" t="inlineStr">
        <is>
          <t>Pending review</t>
        </is>
      </c>
      <c r="G6" t="inlineStr">
        <is>
          <t>Resolved — Samir Bhatt confirmed time status clean; awaiting billing partner prebill 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Amount</t>
        </is>
      </c>
      <c r="C1" t="inlineStr">
        <is>
          <t>Opened</t>
        </is>
      </c>
      <c r="D1" t="inlineStr">
        <is>
          <t>Resolution</t>
        </is>
      </c>
      <c r="E1" t="inlineStr">
        <is>
          <t>Confirmed By</t>
        </is>
      </c>
      <c r="F1" t="inlineStr">
        <is>
          <t>Confirmed To</t>
        </is>
      </c>
      <c r="G1" t="inlineStr">
        <is>
          <t>Status</t>
        </is>
      </c>
    </row>
    <row r="2">
      <c r="A2" t="inlineStr">
        <is>
          <t>Halden</t>
        </is>
      </c>
      <c r="B2" t="n">
        <v>0</v>
      </c>
      <c r="C2" t="inlineStr">
        <is>
          <t>This cycle</t>
        </is>
      </c>
      <c r="D2" t="inlineStr">
        <is>
          <t>Folded into board exposure package</t>
        </is>
      </c>
      <c r="E2" t="inlineStr">
        <is>
          <t>Adaora, Gideon</t>
        </is>
      </c>
      <c r="F2" t="inlineStr">
        <is>
          <t>Adaora; Samir</t>
        </is>
      </c>
      <c r="G2" t="inlineStr">
        <is>
          <t>Released</t>
        </is>
      </c>
    </row>
    <row r="3">
      <c r="A3" t="inlineStr">
        <is>
          <t>Northmoor</t>
        </is>
      </c>
      <c r="B3" t="n">
        <v>0</v>
      </c>
      <c r="C3" t="inlineStr">
        <is>
          <t>This cycle</t>
        </is>
      </c>
      <c r="D3" t="inlineStr">
        <is>
          <t>Folded into board exposure package</t>
        </is>
      </c>
      <c r="E3" t="inlineStr">
        <is>
          <t>Adaora, Gideon</t>
        </is>
      </c>
      <c r="F3" t="inlineStr">
        <is>
          <t>Adaora; Samir</t>
        </is>
      </c>
      <c r="G3" t="inlineStr">
        <is>
          <t>Released</t>
        </is>
      </c>
    </row>
    <row r="4">
      <c r="A4" t="inlineStr">
        <is>
          <t>Verity Grain</t>
        </is>
      </c>
      <c r="B4" t="n">
        <v>0</v>
      </c>
      <c r="C4" t="inlineStr">
        <is>
          <t>This cycle</t>
        </is>
      </c>
      <c r="D4" t="inlineStr">
        <is>
          <t>Folded into board exposure package</t>
        </is>
      </c>
      <c r="E4" t="inlineStr">
        <is>
          <t>Adaora, Gideon</t>
        </is>
      </c>
      <c r="F4" t="inlineStr">
        <is>
          <t>Adaora; Samir</t>
        </is>
      </c>
      <c r="G4" t="inlineStr">
        <is>
          <t>Released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</t>
        </is>
      </c>
      <c r="C1" t="inlineStr">
        <is>
          <t>CC</t>
        </is>
      </c>
      <c r="D1" t="inlineStr">
        <is>
          <t>Confirmed Per Policy</t>
        </is>
      </c>
    </row>
    <row r="2">
      <c r="A2" t="inlineStr">
        <is>
          <t>Prebill Exception List — Distribution Copy</t>
        </is>
      </c>
      <c r="B2" t="inlineStr">
        <is>
          <t>Per Bennett read-aloud policy</t>
        </is>
      </c>
      <c r="C2" t="inlineStr">
        <is>
          <t>Per Bennett read-aloud policy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