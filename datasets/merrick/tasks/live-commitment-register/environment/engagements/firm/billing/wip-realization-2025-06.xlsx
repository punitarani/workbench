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IP by Client" sheetId="1" state="visible" r:id="rId1"/>
    <sheet xmlns:r="http://schemas.openxmlformats.org/officeDocument/2006/relationships" name="Exception List" sheetId="2" state="visible" r:id="rId2"/>
    <sheet xmlns:r="http://schemas.openxmlformats.org/officeDocument/2006/relationships" name="Realization Summary" sheetId="3" state="visible" r:id="rId3"/>
    <sheet xmlns:r="http://schemas.openxmlformats.org/officeDocument/2006/relationships" name="Review Notes (R. Duchamp)"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t="inlineStr">
        <is>
          <t>Client</t>
        </is>
      </c>
      <c r="B1" t="inlineStr">
        <is>
          <t>Matter</t>
        </is>
      </c>
      <c r="C1" t="inlineStr">
        <is>
          <t>Timekeeper</t>
        </is>
      </c>
      <c r="D1" t="inlineStr">
        <is>
          <t>WIP Hours</t>
        </is>
      </c>
      <c r="E1" t="inlineStr">
        <is>
          <t>WIP Value ($)</t>
        </is>
      </c>
      <c r="F1" t="inlineStr">
        <is>
          <t>Prebill Status</t>
        </is>
      </c>
      <c r="G1" t="inlineStr">
        <is>
          <t>Days Outstanding</t>
        </is>
      </c>
    </row>
    <row r="2">
      <c r="A2" t="inlineStr">
        <is>
          <t>Coastal Meridian</t>
        </is>
      </c>
      <c r="B2" t="inlineStr">
        <is>
          <t>Regulatory inquiry</t>
        </is>
      </c>
      <c r="C2" t="inlineStr">
        <is>
          <t>G. Park</t>
        </is>
      </c>
      <c r="D2" t="n">
        <v>38.4</v>
      </c>
      <c r="E2" t="n">
        <v>21432</v>
      </c>
      <c r="F2" t="inlineStr">
        <is>
          <t>Unreleased</t>
        </is>
      </c>
      <c r="G2" t="n">
        <v>4</v>
      </c>
    </row>
    <row r="3">
      <c r="A3" t="inlineStr">
        <is>
          <t>Coastal Meridian</t>
        </is>
      </c>
      <c r="B3" t="inlineStr">
        <is>
          <t>Credit agreement covenant review</t>
        </is>
      </c>
      <c r="C3" t="inlineStr">
        <is>
          <t>F. Doherty</t>
        </is>
      </c>
      <c r="D3" t="n">
        <v>12.1</v>
      </c>
      <c r="E3" t="n">
        <v>6655</v>
      </c>
      <c r="F3" t="inlineStr">
        <is>
          <t>Released</t>
        </is>
      </c>
      <c r="G3" t="n">
        <v>2</v>
      </c>
    </row>
    <row r="4">
      <c r="A4" t="inlineStr">
        <is>
          <t>Halden Orthopedics</t>
        </is>
      </c>
      <c r="B4" t="inlineStr">
        <is>
          <t>Renwick non-compete</t>
        </is>
      </c>
      <c r="C4" t="inlineStr">
        <is>
          <t>A. Nwosu</t>
        </is>
      </c>
      <c r="D4" t="n">
        <v>9.6</v>
      </c>
      <c r="E4" t="n">
        <v>5280</v>
      </c>
      <c r="F4" t="inlineStr">
        <is>
          <t>Released</t>
        </is>
      </c>
      <c r="G4" t="n">
        <v>1</v>
      </c>
    </row>
    <row r="5">
      <c r="A5" t="inlineStr">
        <is>
          <t>Halden Orthopedics</t>
        </is>
      </c>
      <c r="B5" t="inlineStr">
        <is>
          <t>Tessaro malpractice defence</t>
        </is>
      </c>
      <c r="C5" t="inlineStr">
        <is>
          <t>A. Nwosu</t>
        </is>
      </c>
      <c r="D5" t="n">
        <v>61.3</v>
      </c>
      <c r="E5" t="n">
        <v>33715</v>
      </c>
      <c r="F5" t="inlineStr">
        <is>
          <t>Unreleased</t>
        </is>
      </c>
      <c r="G5" t="n">
        <v>6</v>
      </c>
    </row>
    <row r="6">
      <c r="A6" t="inlineStr">
        <is>
          <t>Verity Grain</t>
        </is>
      </c>
      <c r="B6" t="inlineStr">
        <is>
          <t>Ardmore elevator acquisition</t>
        </is>
      </c>
      <c r="C6" t="inlineStr">
        <is>
          <t>G. Park</t>
        </is>
      </c>
      <c r="D6" t="n">
        <v>44</v>
      </c>
      <c r="E6" t="n">
        <v>28600</v>
      </c>
      <c r="F6" t="inlineStr">
        <is>
          <t>Released</t>
        </is>
      </c>
      <c r="G6" t="n">
        <v>3</v>
      </c>
    </row>
    <row r="7">
      <c r="A7" t="inlineStr">
        <is>
          <t>Verity Grain</t>
        </is>
      </c>
      <c r="B7" t="inlineStr">
        <is>
          <t>Hollstead supply dispute</t>
        </is>
      </c>
      <c r="C7" t="inlineStr">
        <is>
          <t>F. Doherty</t>
        </is>
      </c>
      <c r="D7" t="n">
        <v>17.8</v>
      </c>
      <c r="E7" t="n">
        <v>9790</v>
      </c>
      <c r="F7" t="inlineStr">
        <is>
          <t>Unreleased</t>
        </is>
      </c>
      <c r="G7" t="n">
        <v>5</v>
      </c>
    </row>
    <row r="8">
      <c r="A8" t="inlineStr">
        <is>
          <t>Pellumbra</t>
        </is>
      </c>
      <c r="B8" t="inlineStr">
        <is>
          <t>Ravenna collaboration agreement</t>
        </is>
      </c>
      <c r="C8" t="inlineStr">
        <is>
          <t>A. Nwosu</t>
        </is>
      </c>
      <c r="D8" t="n">
        <v>26.5</v>
      </c>
      <c r="E8" t="n">
        <v>15370</v>
      </c>
      <c r="F8" t="inlineStr">
        <is>
          <t>Released</t>
        </is>
      </c>
      <c r="G8" t="n">
        <v>2</v>
      </c>
    </row>
    <row r="9">
      <c r="A9" t="inlineStr">
        <is>
          <t>Pellumbra</t>
        </is>
      </c>
      <c r="B9" t="inlineStr">
        <is>
          <t>Series C disclosure schedule</t>
        </is>
      </c>
      <c r="C9" t="inlineStr">
        <is>
          <t>G. Park</t>
        </is>
      </c>
      <c r="D9" t="n">
        <v>33.2</v>
      </c>
      <c r="E9" t="n">
        <v>19260</v>
      </c>
      <c r="F9" t="inlineStr">
        <is>
          <t>Unreleased</t>
        </is>
      </c>
      <c r="G9" t="n">
        <v>7</v>
      </c>
    </row>
    <row r="10">
      <c r="A10" t="inlineStr">
        <is>
          <t>Pellumbra</t>
        </is>
      </c>
      <c r="B10" t="inlineStr">
        <is>
          <t>Cross-border clinical data assessment</t>
        </is>
      </c>
      <c r="C10" t="inlineStr">
        <is>
          <t>F. Doherty</t>
        </is>
      </c>
      <c r="D10" t="n">
        <v>15</v>
      </c>
      <c r="E10" t="n">
        <v>8250</v>
      </c>
      <c r="F10" t="inlineStr">
        <is>
          <t>Released</t>
        </is>
      </c>
      <c r="G10" t="n">
        <v>1</v>
      </c>
    </row>
    <row r="11">
      <c r="A11" t="inlineStr">
        <is>
          <t>Northmoor</t>
        </is>
      </c>
      <c r="B11" t="inlineStr">
        <is>
          <t>Sandhurst platform acquisition</t>
        </is>
      </c>
      <c r="C11" t="inlineStr">
        <is>
          <t>A. Nwosu</t>
        </is>
      </c>
      <c r="D11" t="n">
        <v>58.9</v>
      </c>
      <c r="E11" t="n">
        <v>32395</v>
      </c>
      <c r="F11" t="inlineStr">
        <is>
          <t>Unreleased</t>
        </is>
      </c>
      <c r="G11" t="n">
        <v>4</v>
      </c>
    </row>
    <row r="12">
      <c r="A12" t="inlineStr">
        <is>
          <t>Northmoor</t>
        </is>
      </c>
      <c r="B12" t="inlineStr">
        <is>
          <t>Sandhurst add-on diligence</t>
        </is>
      </c>
      <c r="C12" t="inlineStr">
        <is>
          <t>G. Park</t>
        </is>
      </c>
      <c r="D12" t="n">
        <v>22.7</v>
      </c>
      <c r="E12" t="n">
        <v>12485</v>
      </c>
      <c r="F12" t="inlineStr">
        <is>
          <t>Released</t>
        </is>
      </c>
      <c r="G12" t="n">
        <v>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Client / Matter</t>
        </is>
      </c>
      <c r="B1" t="inlineStr">
        <is>
          <t>Timekeeper</t>
        </is>
      </c>
      <c r="C1" t="inlineStr">
        <is>
          <t>Amount ($)</t>
        </is>
      </c>
      <c r="D1" t="inlineStr">
        <is>
          <t>Issue</t>
        </is>
      </c>
      <c r="E1" t="inlineStr">
        <is>
          <t>Owner</t>
        </is>
      </c>
      <c r="F1" t="inlineStr">
        <is>
          <t>Escalated</t>
        </is>
      </c>
    </row>
    <row r="2">
      <c r="A2" t="inlineStr">
        <is>
          <t>Halden Orthopedics — Tessaro malpractice defence</t>
        </is>
      </c>
      <c r="B2" t="inlineStr">
        <is>
          <t>A. Nwosu</t>
        </is>
      </c>
      <c r="C2" t="n">
        <v>33715</v>
      </c>
      <c r="D2" t="inlineStr">
        <is>
          <t>Unreleased prebill, 6 days outstanding</t>
        </is>
      </c>
      <c r="E2" t="inlineStr">
        <is>
          <t>A. Nwosu</t>
        </is>
      </c>
      <c r="F2" t="inlineStr">
        <is>
          <t>Yes — noon deadline passed</t>
        </is>
      </c>
    </row>
    <row r="3">
      <c r="A3" t="inlineStr">
        <is>
          <t>Coastal Meridian — Regulatory inquiry</t>
        </is>
      </c>
      <c r="B3" t="inlineStr">
        <is>
          <t>G. Park</t>
        </is>
      </c>
      <c r="C3" t="n">
        <v>21432</v>
      </c>
      <c r="D3" t="inlineStr">
        <is>
          <t>Unreleased prebill, 4 days outstanding</t>
        </is>
      </c>
      <c r="E3" t="inlineStr">
        <is>
          <t>G. Park</t>
        </is>
      </c>
      <c r="F3" t="inlineStr">
        <is>
          <t>No</t>
        </is>
      </c>
    </row>
    <row r="4">
      <c r="A4" t="inlineStr">
        <is>
          <t>Verity Grain — Ardmore elevator acquisition</t>
        </is>
      </c>
      <c r="B4" t="inlineStr">
        <is>
          <t>G. Park</t>
        </is>
      </c>
      <c r="C4" t="n">
        <v>42100</v>
      </c>
      <c r="D4" t="inlineStr">
        <is>
          <t>Time entered in whole-hour blocks, narrative insufficient for billing</t>
        </is>
      </c>
      <c r="E4" t="inlineStr">
        <is>
          <t>G. Park</t>
        </is>
      </c>
      <c r="F4" t="inlineStr">
        <is>
          <t>Yes — flagged by U. Bergmann</t>
        </is>
      </c>
    </row>
    <row r="5">
      <c r="A5" t="inlineStr">
        <is>
          <t>Pellumbra — Series C disclosure schedule</t>
        </is>
      </c>
      <c r="B5" t="inlineStr">
        <is>
          <t>G. Park</t>
        </is>
      </c>
      <c r="C5" t="n">
        <v>19260</v>
      </c>
      <c r="D5" t="inlineStr">
        <is>
          <t>Unreleased prebill, 7 days outstanding — oldest in batch</t>
        </is>
      </c>
      <c r="E5" t="inlineStr">
        <is>
          <t>G. Park</t>
        </is>
      </c>
      <c r="F5" t="inlineStr">
        <is>
          <t>No</t>
        </is>
      </c>
    </row>
    <row r="6">
      <c r="A6" t="inlineStr">
        <is>
          <t>Northmoor — Sandhurst platform acquisition</t>
        </is>
      </c>
      <c r="B6" t="inlineStr">
        <is>
          <t>A. Nwosu</t>
        </is>
      </c>
      <c r="C6" t="n">
        <v>32395</v>
      </c>
      <c r="D6" t="inlineStr">
        <is>
          <t>Unreleased prebill, 4 days outstanding</t>
        </is>
      </c>
      <c r="E6" t="inlineStr">
        <is>
          <t>A. Nwosu</t>
        </is>
      </c>
      <c r="F6" t="inlineStr">
        <is>
          <t>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Client</t>
        </is>
      </c>
      <c r="B1" t="inlineStr">
        <is>
          <t>Billed ($)</t>
        </is>
      </c>
      <c r="C1" t="inlineStr">
        <is>
          <t>Collected ($)</t>
        </is>
      </c>
      <c r="D1" t="inlineStr">
        <is>
          <t>Write-offs ($)</t>
        </is>
      </c>
      <c r="E1" t="inlineStr">
        <is>
          <t>Realization %</t>
        </is>
      </c>
    </row>
    <row r="2">
      <c r="A2" t="inlineStr">
        <is>
          <t>Coastal Meridian</t>
        </is>
      </c>
      <c r="B2" t="n">
        <v>58200</v>
      </c>
      <c r="C2" t="n">
        <v>54800</v>
      </c>
      <c r="D2" t="n">
        <v>1200</v>
      </c>
      <c r="E2">
        <f>(B2-D2)/B2</f>
        <v/>
      </c>
    </row>
    <row r="3">
      <c r="A3" t="inlineStr">
        <is>
          <t>Halden Orthopedics</t>
        </is>
      </c>
      <c r="B3" t="n">
        <v>71400</v>
      </c>
      <c r="C3" t="n">
        <v>63100</v>
      </c>
      <c r="D3" t="n">
        <v>3900</v>
      </c>
      <c r="E3">
        <f>(B3-D3)/B3</f>
        <v/>
      </c>
    </row>
    <row r="4">
      <c r="A4" t="inlineStr">
        <is>
          <t>Verity Grain</t>
        </is>
      </c>
      <c r="B4" t="n">
        <v>96500</v>
      </c>
      <c r="C4" t="n">
        <v>88250</v>
      </c>
      <c r="D4" t="n">
        <v>2650</v>
      </c>
      <c r="E4">
        <f>(B4-D4)/B4</f>
        <v/>
      </c>
    </row>
    <row r="5">
      <c r="A5" t="inlineStr">
        <is>
          <t>Pellumbra</t>
        </is>
      </c>
      <c r="B5" t="n">
        <v>84300</v>
      </c>
      <c r="C5" t="n">
        <v>79900</v>
      </c>
      <c r="D5" t="n">
        <v>1400</v>
      </c>
      <c r="E5">
        <f>(B5-D5)/B5</f>
        <v/>
      </c>
    </row>
    <row r="6">
      <c r="A6" t="inlineStr">
        <is>
          <t>Northmoor</t>
        </is>
      </c>
      <c r="B6" t="n">
        <v>61900</v>
      </c>
      <c r="C6" t="n">
        <v>58000</v>
      </c>
      <c r="D6" t="n">
        <v>900</v>
      </c>
      <c r="E6">
        <f>(B6-D6)/B6</f>
        <v/>
      </c>
    </row>
    <row r="7">
      <c r="A7" t="inlineStr">
        <is>
          <t>Total</t>
        </is>
      </c>
      <c r="B7">
        <f>SUM(B2:B6)</f>
        <v/>
      </c>
      <c r="C7">
        <f>SUM(C2:C6)</f>
        <v/>
      </c>
      <c r="D7">
        <f>SUM(D2:D6)</f>
        <v/>
      </c>
      <c r="E7">
        <f>(B7-D7)/B7</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t="inlineStr">
        <is>
          <t>Sheet / Item</t>
        </is>
      </c>
      <c r="B1" t="inlineStr">
        <is>
          <t>Note</t>
        </is>
      </c>
      <c r="C1" t="inlineStr">
        <is>
          <t>Status</t>
        </is>
      </c>
    </row>
    <row r="2">
      <c r="A2" t="inlineStr">
        <is>
          <t>WIP by Client — all rows</t>
        </is>
      </c>
      <c r="B2" t="inlineStr">
        <is>
          <t>Hours, values and days outstanding tie to the timekeeper entries I have on file. No issues found. Signing off.</t>
        </is>
      </c>
      <c r="C2" t="inlineStr">
        <is>
          <t>Approved</t>
        </is>
      </c>
    </row>
    <row r="3">
      <c r="A3" t="inlineStr">
        <is>
          <t>Exception List — Ardmore elevator acquisition ($42,100)</t>
        </is>
      </c>
      <c r="B3" t="inlineStr">
        <is>
          <t>This amount does not appear anywhere in WIP by Client. If this is a separate billing exception from released WIP, say so explicitly and show which invoice it relates to — as written it reads like an error. Whole-hour-block issue needs the corrected narrative attached before this can close, not just a flag.</t>
        </is>
      </c>
      <c r="C3" t="inlineStr">
        <is>
          <t>Needs revision</t>
        </is>
      </c>
    </row>
    <row r="4">
      <c r="A4" t="inlineStr">
        <is>
          <t>Exception List — Tessaro malpractice defence, escalated 'noon deadline passed'</t>
        </is>
      </c>
      <c r="B4" t="inlineStr">
        <is>
          <t>What happens now that the deadline has passed? Note needs a next step and a new date, not just a record that we missed one. Add: who is re-escalating, to whom, and by when — a passed deadline with no follow-on date is not a closed loop.</t>
        </is>
      </c>
      <c r="C4" t="inlineStr">
        <is>
          <t>Open — add next step</t>
        </is>
      </c>
    </row>
    <row r="5">
      <c r="A5" t="inlineStr">
        <is>
          <t>Exception List — Series C disclosure schedule, 7 days outstanding, not escalated</t>
        </is>
      </c>
      <c r="B5" t="inlineStr">
        <is>
          <t>This is the oldest item in the batch and it isn't escalated. Either explain why it doesn't need escalation or escalate it — silence here reads as an oversight.</t>
        </is>
      </c>
      <c r="C5" t="inlineStr">
        <is>
          <t>Open — needs explanation</t>
        </is>
      </c>
    </row>
    <row r="6">
      <c r="A6" t="inlineStr">
        <is>
          <t>Exception List — Northmoor Sandhurst platform acquisition, 4 days outstanding, not escalated</t>
        </is>
      </c>
      <c r="B6" t="inlineStr">
        <is>
          <t>Same gap as the Series C item: this is unreleased at 4 days with no escalation and no explanation. Confirm whether 4 days is under threshold firm-wide, or escalate it — the list needs a consistent rule, not case-by-case silence.</t>
        </is>
      </c>
      <c r="C6" t="inlineStr">
        <is>
          <t>Open — needs explanation</t>
        </is>
      </c>
    </row>
    <row r="7">
      <c r="A7" t="inlineStr">
        <is>
          <t>Exception List — Coastal Meridian regulatory inquiry vs. Northmoor Sandhurst, both 4 days, both not escalated</t>
        </is>
      </c>
      <c r="B7" t="inlineStr">
        <is>
          <t>Two matters sit at identical days-outstanding with no escalation while a 7-day item also sits unescalated. This list does not go back out until the escalation threshold is stated explicitly on its face — not explained to me verbally, written on the sheet. Add a header line or footnote: 'Escalation threshold: unreleased prebills outstanding ≥ [X] days are escalated.' Until that number is on the sheet and applied consistently to the 4-day and 7-day rows alike, I can't sign off on the escalation column as a whole, only on the individual dollar figures.</t>
        </is>
      </c>
      <c r="C7" t="inlineStr">
        <is>
          <t>Open — needs explanation</t>
        </is>
      </c>
    </row>
    <row r="8">
      <c r="A8" t="inlineStr">
        <is>
          <t>Exception List — escalation column, all rows taken together</t>
        </is>
      </c>
      <c r="B8" t="inlineStr">
        <is>
          <t>Consolidating the three notes above: Tessaro (6 days, escalated), Coastal Meridian (4 days, not escalated), Series C (7 days, not escalated), Northmoor (4 days, not escalated) cannot all be correct against a single rule as currently written. State the threshold once on the sheet and re-run the escalation column against it for these four rows specifically before this recirculates — I will not sign off row-by-row on a column that isn't internally consistent.</t>
        </is>
      </c>
      <c r="C8" t="inlineStr">
        <is>
          <t>Open — needs explanation</t>
        </is>
      </c>
    </row>
    <row r="9">
      <c r="A9" t="inlineStr">
        <is>
          <t>Exception List — Sable Ridge reply brief filing</t>
        </is>
      </c>
      <c r="B9" t="inlineStr">
        <is>
          <t>Confirmed at today's docket call by B. Ashworth and cross-confirmed by me directly with the clerk: the reply brief is filed. This matter does not appear as a line in WIP by Client, Exception List or Realization Summary, so there is nothing on this workbook to update — noting the confirmation here for the record only, so the docket-call resolution doesn't get read back into this sheet as an open exception it was never carried on. Does not affect the status of the Ardmore, escalation-threshold, or Verity Grain items below, which remain open exactly as scored.</t>
        </is>
      </c>
      <c r="C9" t="inlineStr">
        <is>
          <t>Noted — no workbook change required</t>
        </is>
      </c>
    </row>
    <row r="10">
      <c r="A10" t="inlineStr">
        <is>
          <t>Realization Summary — Verity Grain write-off ($2,650)</t>
        </is>
      </c>
      <c r="B10" t="inlineStr">
        <is>
          <t>Doesn't reconcile against the $42,100 Ardmore exception on the prior sheet. Before I sign off on the realization %, show the write-off calculation or confirm the two figures are unrelated.</t>
        </is>
      </c>
      <c r="C10" t="inlineStr">
        <is>
          <t>Needs revision</t>
        </is>
      </c>
    </row>
    <row r="11">
      <c r="A11" t="inlineStr">
        <is>
          <t>Realization Summary — all other clients</t>
        </is>
      </c>
      <c r="B11" t="inlineStr">
        <is>
          <t>Billed/collected/write-off figures are internally consistent and the formulas are sound. No issues.</t>
        </is>
      </c>
      <c r="C11" t="inlineStr">
        <is>
          <t>Approved</t>
        </is>
      </c>
    </row>
    <row r="12">
      <c r="A12" t="inlineStr">
        <is>
          <t>General</t>
        </is>
      </c>
      <c r="B12" t="inlineStr">
        <is>
          <t>Status as of this pass: WIP by Client is approved in full. Realization Summary is approved for Coastal Meridian, Halden Orthopedics, Pellumbra and Northmoor; Verity Grain stays open until the write-off reconciles against the Ardmore exception. Exception List does not go back out — the escalation column is internally inconsistent (Tessaro escalated at 6 days; Coastal Meridian and Northmoor not escalated at 4 days; Series C, the oldest item at 7 days, not escalated) and the Ardmore $42,100 figure still isn't tied to anything in WIP by Client. That will not get filed today. Fix the flagged items above, put the escalation threshold on the sheet, and recirculate before this goes to the partner.</t>
        </is>
      </c>
      <c r="C12" t="inlineStr">
        <is>
          <t>Pending</t>
        </is>
      </c>
    </row>
    <row r="13">
      <c r="A13" t="inlineStr">
        <is>
          <t>Reviewer sign-off, this pass</t>
        </is>
      </c>
      <c r="B13" t="inlineStr">
        <is>
          <t>Confirming the record before this goes anywhere: I am not approving the Exception List or the Verity Grain realization line on the strength of a verbal explanation from anyone on the team. The two open items are the Ardmore $42,100 tie-out and the escalation threshold — both need to be on the sheet in writing, not represented to me in the docket call or in chat. Everything else above stands as scored. Recirculate once those two are fixed; that is the only remaining condition on my sign-off.</t>
        </is>
      </c>
      <c r="C13" t="inlineStr">
        <is>
          <t>Pending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2026-08-22T22:02:08Z</dcterms:created>
  <dcterms:modified xmlns:dcterms="http://purl.org/dc/terms/" xmlns:xsi="http://www.w3.org/2001/XMLSchema-instance" xsi:type="dcterms:W3CDTF">2026-08-22T22:02:08Z</dcterms:modified>
</cp:coreProperties>
</file>