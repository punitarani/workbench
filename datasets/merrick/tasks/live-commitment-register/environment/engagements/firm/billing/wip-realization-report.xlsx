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" sheetId="1" state="visible" r:id="rId1"/>
    <sheet xmlns:r="http://schemas.openxmlformats.org/officeDocument/2006/relationships" name="WIP Summary" sheetId="2" state="visible" r:id="rId2"/>
    <sheet xmlns:r="http://schemas.openxmlformats.org/officeDocument/2006/relationships" name="Real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Timekeeper</t>
        </is>
      </c>
      <c r="D1" t="inlineStr">
        <is>
          <t>Date</t>
        </is>
      </c>
      <c r="E1" t="inlineStr">
        <is>
          <t>Hours</t>
        </is>
      </c>
      <c r="F1" t="inlineStr">
        <is>
          <t>Amount</t>
        </is>
      </c>
      <c r="G1" t="inlineStr">
        <is>
          <t>Issue</t>
        </is>
      </c>
    </row>
    <row r="2">
      <c r="A2" t="inlineStr">
        <is>
          <t>Halden Orthopedics</t>
        </is>
      </c>
      <c r="B2" t="inlineStr">
        <is>
          <t>Renwick non-compete</t>
        </is>
      </c>
      <c r="C2" t="inlineStr">
        <is>
          <t>T. Osei</t>
        </is>
      </c>
      <c r="D2" t="inlineStr">
        <is>
          <t>2025-05-27</t>
        </is>
      </c>
      <c r="E2" t="n">
        <v>5</v>
      </c>
      <c r="F2" t="n">
        <v>2250</v>
      </c>
      <c r="G2" t="inlineStr">
        <is>
          <t>Logged in whole hours - flagged for review</t>
        </is>
      </c>
    </row>
    <row r="3">
      <c r="A3" t="inlineStr">
        <is>
          <t>Northmoor</t>
        </is>
      </c>
      <c r="B3" t="inlineStr">
        <is>
          <t>Sandhurst platform acquisition</t>
        </is>
      </c>
      <c r="C3" t="inlineStr">
        <is>
          <t>J. Dunmore</t>
        </is>
      </c>
      <c r="D3" t="inlineStr">
        <is>
          <t>2025-05-29</t>
        </is>
      </c>
      <c r="E3" t="n">
        <v>4</v>
      </c>
      <c r="F3" t="n">
        <v>2600</v>
      </c>
      <c r="G3" t="inlineStr">
        <is>
          <t>Prebill unreleased - held from prior cycle, now 2nd cycle unreleased</t>
        </is>
      </c>
    </row>
    <row r="4">
      <c r="A4" t="inlineStr">
        <is>
          <t>Verity Grain</t>
        </is>
      </c>
      <c r="B4" t="inlineStr">
        <is>
          <t>Hollstead supply dispute</t>
        </is>
      </c>
      <c r="C4" t="inlineStr">
        <is>
          <t>M. Alcott</t>
        </is>
      </c>
      <c r="D4" t="inlineStr">
        <is>
          <t>2025-05-28</t>
        </is>
      </c>
      <c r="E4" t="n">
        <v>0.8</v>
      </c>
      <c r="F4" t="n">
        <v>380</v>
      </c>
      <c r="G4" t="inlineStr">
        <is>
          <t>Narrative too generic - 'attention to matter'</t>
        </is>
      </c>
    </row>
    <row r="5">
      <c r="A5" t="inlineStr">
        <is>
          <t>Halden Orthopedics</t>
        </is>
      </c>
      <c r="B5" t="inlineStr">
        <is>
          <t>Tessaro malpractice defence</t>
        </is>
      </c>
      <c r="C5" t="inlineStr">
        <is>
          <t>T. Osei</t>
        </is>
      </c>
      <c r="D5" t="inlineStr">
        <is>
          <t>2025-05-31</t>
        </is>
      </c>
      <c r="E5" t="n">
        <v>6</v>
      </c>
      <c r="F5" t="n">
        <v>2700</v>
      </c>
      <c r="G5" t="inlineStr">
        <is>
          <t>Logged in whole hours - flagged for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WIP Balance</t>
        </is>
      </c>
      <c r="D1" t="inlineStr">
        <is>
          <t>Oldest Unbilled Date</t>
        </is>
      </c>
      <c r="E1" t="inlineStr">
        <is>
          <t>Days Outstanding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n">
        <v>48920</v>
      </c>
      <c r="D2" t="inlineStr">
        <is>
          <t>2025-04-02</t>
        </is>
      </c>
      <c r="E2" t="n">
        <v>59</v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n">
        <v>21150</v>
      </c>
      <c r="D3" t="inlineStr">
        <is>
          <t>2025-04-14</t>
        </is>
      </c>
      <c r="E3" t="n">
        <v>47</v>
      </c>
    </row>
    <row r="4">
      <c r="A4" t="inlineStr">
        <is>
          <t>Halden Orthopedics</t>
        </is>
      </c>
      <c r="B4" t="inlineStr">
        <is>
          <t>Renwick non-compete</t>
        </is>
      </c>
      <c r="C4" t="n">
        <v>15680</v>
      </c>
      <c r="D4" t="inlineStr">
        <is>
          <t>2025-04-22</t>
        </is>
      </c>
      <c r="E4" t="n">
        <v>39</v>
      </c>
    </row>
    <row r="5">
      <c r="A5" t="inlineStr">
        <is>
          <t>Halden Orthopedics</t>
        </is>
      </c>
      <c r="B5" t="inlineStr">
        <is>
          <t>Tessaro malpractice defence</t>
        </is>
      </c>
      <c r="C5" t="n">
        <v>62340</v>
      </c>
      <c r="D5" t="inlineStr">
        <is>
          <t>2025-03-19</t>
        </is>
      </c>
      <c r="E5" t="n">
        <v>73</v>
      </c>
    </row>
    <row r="6">
      <c r="A6" t="inlineStr">
        <is>
          <t>Verity Grain</t>
        </is>
      </c>
      <c r="B6" t="inlineStr">
        <is>
          <t>Ardmore elevator acquisition</t>
        </is>
      </c>
      <c r="C6" t="n">
        <v>38475</v>
      </c>
      <c r="D6" t="inlineStr">
        <is>
          <t>2025-04-10</t>
        </is>
      </c>
      <c r="E6" t="n">
        <v>51</v>
      </c>
    </row>
    <row r="7">
      <c r="A7" t="inlineStr">
        <is>
          <t>Verity Grain</t>
        </is>
      </c>
      <c r="B7" t="inlineStr">
        <is>
          <t>Hollstead supply dispute</t>
        </is>
      </c>
      <c r="C7" t="n">
        <v>9840</v>
      </c>
      <c r="D7" t="inlineStr">
        <is>
          <t>2025-05-01</t>
        </is>
      </c>
      <c r="E7" t="n">
        <v>30</v>
      </c>
    </row>
    <row r="8">
      <c r="A8" t="inlineStr">
        <is>
          <t>Pellumbra</t>
        </is>
      </c>
      <c r="B8" t="inlineStr">
        <is>
          <t>Ravenna collaboration agreement</t>
        </is>
      </c>
      <c r="C8" t="n">
        <v>27600</v>
      </c>
      <c r="D8" t="inlineStr">
        <is>
          <t>2025-04-18</t>
        </is>
      </c>
      <c r="E8" t="n">
        <v>43</v>
      </c>
    </row>
    <row r="9">
      <c r="A9" t="inlineStr">
        <is>
          <t>Pellumbra</t>
        </is>
      </c>
      <c r="B9" t="inlineStr">
        <is>
          <t>Series C disclosure schedule</t>
        </is>
      </c>
      <c r="C9" t="n">
        <v>33915</v>
      </c>
      <c r="D9" t="inlineStr">
        <is>
          <t>2025-04-25</t>
        </is>
      </c>
      <c r="E9" t="n">
        <v>36</v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n">
        <v>12200</v>
      </c>
      <c r="D10" t="inlineStr">
        <is>
          <t>2025-05-08</t>
        </is>
      </c>
      <c r="E10" t="n">
        <v>23</v>
      </c>
    </row>
    <row r="11">
      <c r="A11" t="inlineStr">
        <is>
          <t>Northmoor</t>
        </is>
      </c>
      <c r="B11" t="inlineStr">
        <is>
          <t>Sandhurst platform acquisition</t>
        </is>
      </c>
      <c r="C11" t="n">
        <v>71250</v>
      </c>
      <c r="D11" t="inlineStr">
        <is>
          <t>2025-03-30</t>
        </is>
      </c>
      <c r="E11" t="n">
        <v>62</v>
      </c>
    </row>
    <row r="12">
      <c r="A12" t="inlineStr">
        <is>
          <t>Northmoor</t>
        </is>
      </c>
      <c r="B12" t="inlineStr">
        <is>
          <t>Sandhurst add-on diligence</t>
        </is>
      </c>
      <c r="C12" t="n">
        <v>18990</v>
      </c>
      <c r="D12" t="inlineStr">
        <is>
          <t>2025-04-29</t>
        </is>
      </c>
      <c r="E12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Billed</t>
        </is>
      </c>
      <c r="D1" t="inlineStr">
        <is>
          <t>Collected</t>
        </is>
      </c>
      <c r="E1" t="inlineStr">
        <is>
          <t>Written Off</t>
        </is>
      </c>
      <c r="F1" t="inlineStr">
        <is>
          <t>Realization Rate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n">
        <v>112400</v>
      </c>
      <c r="D2" t="n">
        <v>105980</v>
      </c>
      <c r="E2" t="n">
        <v>3200</v>
      </c>
      <c r="F2">
        <f>D2/(B2-E2)</f>
        <v/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n">
        <v>64200</v>
      </c>
      <c r="D3" t="n">
        <v>61890</v>
      </c>
      <c r="E3" t="n">
        <v>1100</v>
      </c>
      <c r="F3">
        <f>D3/(B3-E3)</f>
        <v/>
      </c>
    </row>
    <row r="4">
      <c r="A4" t="inlineStr">
        <is>
          <t>Halden Orthopedics</t>
        </is>
      </c>
      <c r="B4" t="inlineStr">
        <is>
          <t>Renwick non-compete</t>
        </is>
      </c>
      <c r="C4" t="n">
        <v>41500</v>
      </c>
      <c r="D4" t="n">
        <v>39980</v>
      </c>
      <c r="E4" t="n">
        <v>900</v>
      </c>
      <c r="F4">
        <f>D4/(B4-E4)</f>
        <v/>
      </c>
    </row>
    <row r="5">
      <c r="A5" t="inlineStr">
        <is>
          <t>Halden Orthopedics</t>
        </is>
      </c>
      <c r="B5" t="inlineStr">
        <is>
          <t>Tessaro malpractice defence</t>
        </is>
      </c>
      <c r="C5" t="n">
        <v>187600</v>
      </c>
      <c r="D5" t="n">
        <v>179200</v>
      </c>
      <c r="E5" t="n">
        <v>4400</v>
      </c>
      <c r="F5">
        <f>D5/(B5-E5)</f>
        <v/>
      </c>
    </row>
    <row r="6">
      <c r="A6" t="inlineStr">
        <is>
          <t>Verity Grain</t>
        </is>
      </c>
      <c r="B6" t="inlineStr">
        <is>
          <t>Ardmore elevator acquisition</t>
        </is>
      </c>
      <c r="C6" t="n">
        <v>98750</v>
      </c>
      <c r="D6" t="n">
        <v>94100</v>
      </c>
      <c r="E6" t="n">
        <v>2650</v>
      </c>
      <c r="F6">
        <f>D6/(B6-E6)</f>
        <v/>
      </c>
    </row>
    <row r="7">
      <c r="A7" t="inlineStr">
        <is>
          <t>Verity Grain</t>
        </is>
      </c>
      <c r="B7" t="inlineStr">
        <is>
          <t>Hollstead supply dispute</t>
        </is>
      </c>
      <c r="C7" t="n">
        <v>22300</v>
      </c>
      <c r="D7" t="n">
        <v>21980</v>
      </c>
      <c r="E7" t="n">
        <v>0</v>
      </c>
      <c r="F7">
        <f>D7/(B7-E7)</f>
        <v/>
      </c>
    </row>
    <row r="8">
      <c r="A8" t="inlineStr">
        <is>
          <t>Pellumbra</t>
        </is>
      </c>
      <c r="B8" t="inlineStr">
        <is>
          <t>Ravenna collaboration agreement</t>
        </is>
      </c>
      <c r="C8" t="n">
        <v>76100</v>
      </c>
      <c r="D8" t="n">
        <v>71300</v>
      </c>
      <c r="E8" t="n">
        <v>1900</v>
      </c>
      <c r="F8">
        <f>D8/(B8-E8)</f>
        <v/>
      </c>
    </row>
    <row r="9">
      <c r="A9" t="inlineStr">
        <is>
          <t>Pellumbra</t>
        </is>
      </c>
      <c r="B9" t="inlineStr">
        <is>
          <t>Series C disclosure schedule</t>
        </is>
      </c>
      <c r="C9" t="n">
        <v>89400</v>
      </c>
      <c r="D9" t="n">
        <v>84950</v>
      </c>
      <c r="E9" t="n">
        <v>2100</v>
      </c>
      <c r="F9">
        <f>D9/(B9-E9)</f>
        <v/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n">
        <v>34600</v>
      </c>
      <c r="D10" t="n">
        <v>33100</v>
      </c>
      <c r="E10" t="n">
        <v>500</v>
      </c>
      <c r="F10">
        <f>D10/(B10-E10)</f>
        <v/>
      </c>
    </row>
    <row r="11">
      <c r="A11" t="inlineStr">
        <is>
          <t>Northmoor</t>
        </is>
      </c>
      <c r="B11" t="inlineStr">
        <is>
          <t>Sandhurst platform acquisition</t>
        </is>
      </c>
      <c r="C11" t="n">
        <v>165200</v>
      </c>
      <c r="D11" t="n">
        <v>154800</v>
      </c>
      <c r="E11" t="n">
        <v>5100</v>
      </c>
      <c r="F11">
        <f>D11/(B11-E11)</f>
        <v/>
      </c>
    </row>
    <row r="12">
      <c r="A12" t="inlineStr">
        <is>
          <t>Northmoor</t>
        </is>
      </c>
      <c r="B12" t="inlineStr">
        <is>
          <t>Sandhurst add-on diligence</t>
        </is>
      </c>
      <c r="C12" t="n">
        <v>41900</v>
      </c>
      <c r="D12" t="n">
        <v>40200</v>
      </c>
      <c r="E12" t="n">
        <v>800</v>
      </c>
      <c r="F12">
        <f>D12/(B12-E12)</f>
        <v/>
      </c>
    </row>
    <row r="13">
      <c r="A13" t="inlineStr">
        <is>
          <t>Total</t>
        </is>
      </c>
      <c r="B13" t="inlineStr"/>
      <c r="C13">
        <f>SUM(B2:B12)</f>
        <v/>
      </c>
      <c r="D13">
        <f>SUM(D2:D12)</f>
        <v/>
      </c>
      <c r="E13">
        <f>SUM(E2:E12)</f>
        <v/>
      </c>
      <c r="F13">
        <f>D13/(B13-E13)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2026-08-22T22:02:10Z</dcterms:created>
  <dcterms:modified xmlns:dcterms="http://purl.org/dc/terms/" xmlns:xsi="http://www.w3.org/2001/XMLSchema-instance" xsi:type="dcterms:W3CDTF">2026-08-22T22:02:10Z</dcterms:modified>
</cp:coreProperties>
</file>