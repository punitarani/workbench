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s" sheetId="1" state="visible" r:id="rId1"/>
    <sheet xmlns:r="http://schemas.openxmlformats.org/officeDocument/2006/relationships" name="WIP Summary" sheetId="2" state="visible" r:id="rId2"/>
    <sheet xmlns:r="http://schemas.openxmlformats.org/officeDocument/2006/relationships" name="Realization" sheetId="3" state="visible" r:id="rId3"/>
    <sheet xmlns:r="http://schemas.openxmlformats.org/officeDocument/2006/relationships" name="Tot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Timekeeper</t>
        </is>
      </c>
      <c r="C1" t="inlineStr">
        <is>
          <t>Issue</t>
        </is>
      </c>
      <c r="D1" t="inlineStr">
        <is>
          <t>Amount Outstanding</t>
        </is>
      </c>
      <c r="E1" t="inlineStr">
        <is>
          <t>Status</t>
        </is>
      </c>
    </row>
    <row r="2">
      <c r="A2" t="inlineStr">
        <is>
          <t>Pellumbra - Ravenna collaboration agreement</t>
        </is>
      </c>
      <c r="B2" t="inlineStr">
        <is>
          <t>Dov Reinhardt</t>
        </is>
      </c>
      <c r="C2" t="inlineStr">
        <is>
          <t>Prebill unreleased, no time entered</t>
        </is>
      </c>
      <c r="D2" t="n">
        <v>0</v>
      </c>
      <c r="E2" t="inlineStr">
        <is>
          <t>OPEN - cycle closes today</t>
        </is>
      </c>
    </row>
    <row r="3">
      <c r="A3" t="inlineStr">
        <is>
          <t>Northmoor - Sandhurst platform acquisition</t>
        </is>
      </c>
      <c r="B3" t="inlineStr">
        <is>
          <t>Gideon</t>
        </is>
      </c>
      <c r="C3" t="inlineStr">
        <is>
          <t>Five requests for narrative edits, no response</t>
        </is>
      </c>
      <c r="D3" t="n">
        <v>0</v>
      </c>
      <c r="E3" t="inlineStr">
        <is>
          <t>OPEN - escalate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Client</t>
        </is>
      </c>
      <c r="C1" t="inlineStr">
        <is>
          <t>WIP Balance</t>
        </is>
      </c>
      <c r="D1" t="inlineStr">
        <is>
          <t>Unbilled Hours</t>
        </is>
      </c>
      <c r="E1" t="inlineStr">
        <is>
          <t>Oldest WIP Date</t>
        </is>
      </c>
      <c r="F1" t="inlineStr">
        <is>
          <t>Days Outstanding</t>
        </is>
      </c>
    </row>
    <row r="2">
      <c r="A2" t="inlineStr">
        <is>
          <t>Coastal Meridian - regulatory inquiry</t>
        </is>
      </c>
      <c r="B2" t="inlineStr">
        <is>
          <t>Coastal Meridian</t>
        </is>
      </c>
      <c r="C2" t="n">
        <v>48210.5</v>
      </c>
      <c r="D2" t="n">
        <v>62.5</v>
      </c>
      <c r="E2" t="inlineStr">
        <is>
          <t>2025-02-11</t>
        </is>
      </c>
      <c r="F2" t="n">
        <v>112</v>
      </c>
    </row>
    <row r="3">
      <c r="A3" t="inlineStr">
        <is>
          <t>Coastal Meridian - credit agreement covenant review</t>
        </is>
      </c>
      <c r="B3" t="inlineStr">
        <is>
          <t>Coastal Meridian</t>
        </is>
      </c>
      <c r="C3" t="n">
        <v>12440</v>
      </c>
      <c r="D3" t="n">
        <v>18</v>
      </c>
      <c r="E3" t="inlineStr">
        <is>
          <t>2025-03-04</t>
        </is>
      </c>
      <c r="F3" t="n">
        <v>89</v>
      </c>
    </row>
    <row r="4">
      <c r="A4" t="inlineStr">
        <is>
          <t>Halden Orthopedics - Renwick non-compete</t>
        </is>
      </c>
      <c r="B4" t="inlineStr">
        <is>
          <t>Halden Orthopedics</t>
        </is>
      </c>
      <c r="C4" t="n">
        <v>9875.25</v>
      </c>
      <c r="D4" t="n">
        <v>14.25</v>
      </c>
      <c r="E4" t="inlineStr">
        <is>
          <t>2025-01-22</t>
        </is>
      </c>
      <c r="F4" t="n">
        <v>132</v>
      </c>
    </row>
    <row r="5">
      <c r="A5" t="inlineStr">
        <is>
          <t>Halden Orthopedics - Tessaro malpractice defence</t>
        </is>
      </c>
      <c r="B5" t="inlineStr">
        <is>
          <t>Halden Orthopedics</t>
        </is>
      </c>
      <c r="C5" t="n">
        <v>61302.75</v>
      </c>
      <c r="D5" t="n">
        <v>84.75</v>
      </c>
      <c r="E5" t="inlineStr">
        <is>
          <t>2024-12-09</t>
        </is>
      </c>
      <c r="F5" t="n">
        <v>176</v>
      </c>
    </row>
    <row r="6">
      <c r="A6" t="inlineStr">
        <is>
          <t>Verity Grain - Ardmore elevator acquisition</t>
        </is>
      </c>
      <c r="B6" t="inlineStr">
        <is>
          <t>Verity Grain</t>
        </is>
      </c>
      <c r="C6" t="n">
        <v>33580</v>
      </c>
      <c r="D6" t="n">
        <v>47</v>
      </c>
      <c r="E6" t="inlineStr">
        <is>
          <t>2025-03-18</t>
        </is>
      </c>
      <c r="F6" t="n">
        <v>75</v>
      </c>
    </row>
    <row r="7">
      <c r="A7" t="inlineStr">
        <is>
          <t>Verity Grain - Hollstead supply dispute</t>
        </is>
      </c>
      <c r="B7" t="inlineStr">
        <is>
          <t>Verity Grain</t>
        </is>
      </c>
      <c r="C7" t="n">
        <v>7622.5</v>
      </c>
      <c r="D7" t="n">
        <v>10.5</v>
      </c>
      <c r="E7" t="inlineStr">
        <is>
          <t>2025-04-01</t>
        </is>
      </c>
      <c r="F7" t="n">
        <v>61</v>
      </c>
    </row>
    <row r="8">
      <c r="A8" t="inlineStr">
        <is>
          <t>Pellumbra - Ravenna collaboration agreement</t>
        </is>
      </c>
      <c r="B8" t="inlineStr">
        <is>
          <t>Pellumbra</t>
        </is>
      </c>
      <c r="C8" t="n">
        <v>22150</v>
      </c>
      <c r="D8" t="n">
        <v>31</v>
      </c>
      <c r="E8" t="inlineStr">
        <is>
          <t>2025-02-27</t>
        </is>
      </c>
      <c r="F8" t="n">
        <v>96</v>
      </c>
    </row>
    <row r="9">
      <c r="A9" t="inlineStr">
        <is>
          <t>Pellumbra - Series C disclosure schedule</t>
        </is>
      </c>
      <c r="B9" t="inlineStr">
        <is>
          <t>Pellumbra</t>
        </is>
      </c>
      <c r="C9" t="n">
        <v>15904</v>
      </c>
      <c r="D9" t="n">
        <v>22.25</v>
      </c>
      <c r="E9" t="inlineStr">
        <is>
          <t>2025-03-11</t>
        </is>
      </c>
      <c r="F9" t="n">
        <v>82</v>
      </c>
    </row>
    <row r="10">
      <c r="A10" t="inlineStr">
        <is>
          <t>Pellumbra - cross-border clinical data assessment</t>
        </is>
      </c>
      <c r="B10" t="inlineStr">
        <is>
          <t>Pellumbra</t>
        </is>
      </c>
      <c r="C10" t="n">
        <v>5312.5</v>
      </c>
      <c r="D10" t="n">
        <v>7.5</v>
      </c>
      <c r="E10" t="inlineStr">
        <is>
          <t>2025-04-08</t>
        </is>
      </c>
      <c r="F10" t="n">
        <v>54</v>
      </c>
    </row>
    <row r="11">
      <c r="A11" t="inlineStr">
        <is>
          <t>Northmoor - Sandhurst platform acquisition</t>
        </is>
      </c>
      <c r="B11" t="inlineStr">
        <is>
          <t>Northmoor</t>
        </is>
      </c>
      <c r="C11" t="n">
        <v>74890.25</v>
      </c>
      <c r="D11" t="n">
        <v>98.5</v>
      </c>
      <c r="E11" t="inlineStr">
        <is>
          <t>2024-12-16</t>
        </is>
      </c>
      <c r="F11" t="n">
        <v>169</v>
      </c>
    </row>
    <row r="12">
      <c r="A12" t="inlineStr">
        <is>
          <t>Northmoor - Sandhurst add-on diligence</t>
        </is>
      </c>
      <c r="B12" t="inlineStr">
        <is>
          <t>Northmoor</t>
        </is>
      </c>
      <c r="C12" t="n">
        <v>18205</v>
      </c>
      <c r="D12" t="n">
        <v>25.75</v>
      </c>
      <c r="E12" t="inlineStr">
        <is>
          <t>2025-03-22</t>
        </is>
      </c>
      <c r="F12" t="n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Time Value at Std Rates</t>
        </is>
      </c>
      <c r="C1" t="inlineStr">
        <is>
          <t>Billed Amount</t>
        </is>
      </c>
      <c r="D1" t="inlineStr">
        <is>
          <t>Write-offs</t>
        </is>
      </c>
      <c r="E1" t="inlineStr">
        <is>
          <t>Realization %</t>
        </is>
      </c>
    </row>
    <row r="2">
      <c r="A2" t="inlineStr">
        <is>
          <t>Coastal Meridian - regulatory inquiry</t>
        </is>
      </c>
      <c r="B2" t="n">
        <v>52000</v>
      </c>
      <c r="C2" t="n">
        <v>44500</v>
      </c>
      <c r="D2" t="n">
        <v>3500</v>
      </c>
      <c r="E2">
        <f>D2/B2</f>
        <v/>
      </c>
    </row>
    <row r="3">
      <c r="A3" t="inlineStr">
        <is>
          <t>Coastal Meridian - credit agreement covenant review</t>
        </is>
      </c>
      <c r="B3" t="n">
        <v>13000</v>
      </c>
      <c r="C3" t="n">
        <v>12440</v>
      </c>
      <c r="D3" t="n">
        <v>0</v>
      </c>
      <c r="E3">
        <f>D3/B3</f>
        <v/>
      </c>
    </row>
    <row r="4">
      <c r="A4" t="inlineStr">
        <is>
          <t>Halden Orthopedics - Renwick non-compete</t>
        </is>
      </c>
      <c r="B4" t="n">
        <v>10500</v>
      </c>
      <c r="C4" t="n">
        <v>9200</v>
      </c>
      <c r="D4" t="n">
        <v>300</v>
      </c>
      <c r="E4">
        <f>D4/B4</f>
        <v/>
      </c>
    </row>
    <row r="5">
      <c r="A5" t="inlineStr">
        <is>
          <t>Halden Orthopedics - Tessaro malpractice defence</t>
        </is>
      </c>
      <c r="B5" t="n">
        <v>65000</v>
      </c>
      <c r="C5" t="n">
        <v>58000</v>
      </c>
      <c r="D5" t="n">
        <v>2500</v>
      </c>
      <c r="E5">
        <f>D5/B5</f>
        <v/>
      </c>
    </row>
    <row r="6">
      <c r="A6" t="inlineStr">
        <is>
          <t>Verity Grain - Ardmore elevator acquisition</t>
        </is>
      </c>
      <c r="B6" t="n">
        <v>35000</v>
      </c>
      <c r="C6" t="n">
        <v>33580</v>
      </c>
      <c r="D6" t="n">
        <v>0</v>
      </c>
      <c r="E6">
        <f>D6/B6</f>
        <v/>
      </c>
    </row>
    <row r="7">
      <c r="A7" t="inlineStr">
        <is>
          <t>Verity Grain - Hollstead supply dispute</t>
        </is>
      </c>
      <c r="B7" t="n">
        <v>8000</v>
      </c>
      <c r="C7" t="n">
        <v>7100</v>
      </c>
      <c r="D7" t="n">
        <v>200</v>
      </c>
      <c r="E7">
        <f>D7/B7</f>
        <v/>
      </c>
    </row>
    <row r="8">
      <c r="A8" t="inlineStr">
        <is>
          <t>Pellumbra - Ravenna collaboration agreement</t>
        </is>
      </c>
      <c r="B8" t="n">
        <v>22150</v>
      </c>
      <c r="C8" t="n">
        <v>0</v>
      </c>
      <c r="D8" t="n">
        <v>0</v>
      </c>
      <c r="E8">
        <f>D8/B8</f>
        <v/>
      </c>
    </row>
    <row r="9">
      <c r="A9" t="inlineStr">
        <is>
          <t>Pellumbra - Series C disclosure schedule</t>
        </is>
      </c>
      <c r="B9" t="n">
        <v>16500</v>
      </c>
      <c r="C9" t="n">
        <v>15904</v>
      </c>
      <c r="D9" t="n">
        <v>0</v>
      </c>
      <c r="E9">
        <f>D9/B9</f>
        <v/>
      </c>
    </row>
    <row r="10">
      <c r="A10" t="inlineStr">
        <is>
          <t>Pellumbra - cross-border clinical data assessment</t>
        </is>
      </c>
      <c r="B10" t="n">
        <v>5500</v>
      </c>
      <c r="C10" t="n">
        <v>5100</v>
      </c>
      <c r="D10" t="n">
        <v>0</v>
      </c>
      <c r="E10">
        <f>D10/B10</f>
        <v/>
      </c>
    </row>
    <row r="11">
      <c r="A11" t="inlineStr">
        <is>
          <t>Northmoor - Sandhurst platform acquisition</t>
        </is>
      </c>
      <c r="B11" t="n">
        <v>79000</v>
      </c>
      <c r="C11" t="n">
        <v>68000</v>
      </c>
      <c r="D11" t="n">
        <v>1200</v>
      </c>
      <c r="E11">
        <f>D11/B11</f>
        <v/>
      </c>
    </row>
    <row r="12">
      <c r="A12" t="inlineStr">
        <is>
          <t>Northmoor - Sandhurst add-on diligence</t>
        </is>
      </c>
      <c r="B12" t="n">
        <v>19000</v>
      </c>
      <c r="C12" t="n">
        <v>17800</v>
      </c>
      <c r="D12" t="n">
        <v>0</v>
      </c>
      <c r="E12">
        <f>D12/B12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WIP</t>
        </is>
      </c>
      <c r="B2">
        <f>SUM('WIP Summary'.C2:C12)</f>
        <v/>
      </c>
    </row>
    <row r="3">
      <c r="A3" t="inlineStr">
        <is>
          <t>Total Time Value</t>
        </is>
      </c>
      <c r="B3">
        <f>SUM(Realization.B2:B12)</f>
        <v/>
      </c>
    </row>
    <row r="4">
      <c r="A4" t="inlineStr">
        <is>
          <t>Total Billed</t>
        </is>
      </c>
      <c r="B4">
        <f>SUM(Realization.C2:C12)</f>
        <v/>
      </c>
    </row>
    <row r="5">
      <c r="A5" t="inlineStr">
        <is>
          <t>Total Write-offs</t>
        </is>
      </c>
      <c r="B5">
        <f>SUM(Realization.D2:D12)</f>
        <v/>
      </c>
    </row>
    <row r="6">
      <c r="A6" t="inlineStr">
        <is>
          <t>Blended Realization %</t>
        </is>
      </c>
      <c r="B6">
        <f>Totals.C2/Totals.B2</f>
        <v/>
      </c>
    </row>
    <row r="7">
      <c r="A7" t="inlineStr">
        <is>
          <t>Ravenna WIP Not Yet Released</t>
        </is>
      </c>
      <c r="B7" t="n">
        <v>22150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2026-08-22T22:02:11Z</dcterms:created>
  <dcterms:modified xmlns:dcterms="http://purl.org/dc/terms/" xmlns:xsi="http://www.w3.org/2001/XMLSchema-instance" xsi:type="dcterms:W3CDTF">2026-08-22T22:02:11Z</dcterms:modified>
</cp:coreProperties>
</file>