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Progress" sheetId="1" state="visible" r:id="rId1"/>
    <sheet xmlns:r="http://schemas.openxmlformats.org/officeDocument/2006/relationships" name="Open Tagging Queries" sheetId="2" state="visible" r:id="rId2"/>
    <sheet xmlns:r="http://schemas.openxmlformats.org/officeDocument/2006/relationships" name="Privilege Calls for Spot-Check" sheetId="3" state="visible" r:id="rId3"/>
    <sheet xmlns:r="http://schemas.openxmlformats.org/officeDocument/2006/relationships" name="Document Statu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Reviewer</t>
        </is>
      </c>
      <c r="C1" t="inlineStr">
        <is>
          <t>Docs Assigned</t>
        </is>
      </c>
      <c r="D1" t="inlineStr">
        <is>
          <t>Docs Coded</t>
        </is>
      </c>
      <c r="E1" t="inlineStr">
        <is>
          <t>% Complete</t>
        </is>
      </c>
      <c r="F1" t="inlineStr">
        <is>
          <t>Status</t>
        </is>
      </c>
      <c r="G1" t="inlineStr">
        <is>
          <t>Last Updated</t>
        </is>
      </c>
    </row>
    <row r="2">
      <c r="A2" t="inlineStr">
        <is>
          <t>BATCH-001</t>
        </is>
      </c>
      <c r="B2" t="inlineStr">
        <is>
          <t>Contract Reviewer Team A</t>
        </is>
      </c>
      <c r="C2" t="n">
        <v>1500</v>
      </c>
      <c r="D2" t="n">
        <v>1120</v>
      </c>
      <c r="E2">
        <f>D2/C2</f>
        <v/>
      </c>
      <c r="F2" t="inlineStr">
        <is>
          <t>In Progress</t>
        </is>
      </c>
      <c r="G2" t="inlineStr">
        <is>
          <t>2024-06-10</t>
        </is>
      </c>
    </row>
    <row r="3">
      <c r="A3" t="inlineStr">
        <is>
          <t>BATCH-002</t>
        </is>
      </c>
      <c r="B3" t="inlineStr">
        <is>
          <t>Contract Reviewer Team B</t>
        </is>
      </c>
      <c r="C3" t="n">
        <v>1500</v>
      </c>
      <c r="D3" t="n">
        <v>1500</v>
      </c>
      <c r="E3">
        <f>D3/C3</f>
        <v/>
      </c>
      <c r="F3" t="inlineStr">
        <is>
          <t>Complete - Pending QC</t>
        </is>
      </c>
      <c r="G3" t="inlineStr">
        <is>
          <t>2024-06-10</t>
        </is>
      </c>
    </row>
    <row r="4">
      <c r="A4" t="inlineStr">
        <is>
          <t>BATCH-003</t>
        </is>
      </c>
      <c r="B4" t="inlineStr">
        <is>
          <t>Contract Reviewer Team A</t>
        </is>
      </c>
      <c r="C4" t="n">
        <v>1200</v>
      </c>
      <c r="D4" t="n">
        <v>640</v>
      </c>
      <c r="E4">
        <f>D4/C4</f>
        <v/>
      </c>
      <c r="F4" t="inlineStr">
        <is>
          <t>In Progress</t>
        </is>
      </c>
      <c r="G4" t="inlineStr">
        <is>
          <t>2024-06-10</t>
        </is>
      </c>
    </row>
    <row r="5">
      <c r="A5" t="inlineStr">
        <is>
          <t>BATCH-004</t>
        </is>
      </c>
      <c r="B5" t="inlineStr">
        <is>
          <t>Litigation Group - Overnight</t>
        </is>
      </c>
      <c r="C5" t="n">
        <v>900</v>
      </c>
      <c r="D5" t="n">
        <v>900</v>
      </c>
      <c r="E5">
        <f>D5/C5</f>
        <v/>
      </c>
      <c r="F5" t="inlineStr">
        <is>
          <t>Complete - Pending QC</t>
        </is>
      </c>
      <c r="G5" t="inlineStr">
        <is>
          <t>2024-06-10</t>
        </is>
      </c>
    </row>
    <row r="6">
      <c r="A6" t="inlineStr">
        <is>
          <t>BATCH-005</t>
        </is>
      </c>
      <c r="B6" t="inlineStr">
        <is>
          <t>Contract Reviewer Team B</t>
        </is>
      </c>
      <c r="C6" t="n">
        <v>1000</v>
      </c>
      <c r="D6" t="n">
        <v>0</v>
      </c>
      <c r="E6">
        <f>D6/C6</f>
        <v/>
      </c>
      <c r="F6" t="inlineStr">
        <is>
          <t>Not Started</t>
        </is>
      </c>
      <c r="G6" t="inlineStr">
        <is>
          <t>2024-06-10</t>
        </is>
      </c>
    </row>
    <row r="7">
      <c r="A7" t="inlineStr">
        <is>
          <t>TOTAL</t>
        </is>
      </c>
      <c r="B7" t="inlineStr"/>
      <c r="C7">
        <f>SUM(C2:C6)</f>
        <v/>
      </c>
      <c r="D7">
        <f>SUM(D2:D6)</f>
        <v/>
      </c>
      <c r="E7">
        <f>D7/C7</f>
        <v/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ID</t>
        </is>
      </c>
      <c r="B1" t="inlineStr">
        <is>
          <t>Batch ID</t>
        </is>
      </c>
      <c r="C1" t="inlineStr">
        <is>
          <t>Doc Range</t>
        </is>
      </c>
      <c r="D1" t="inlineStr">
        <is>
          <t>Issue</t>
        </is>
      </c>
      <c r="E1" t="inlineStr">
        <is>
          <t>Raised By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TQ-1</t>
        </is>
      </c>
      <c r="B2" t="inlineStr">
        <is>
          <t>BATCH-001</t>
        </is>
      </c>
      <c r="C2" t="inlineStr">
        <is>
          <t>Docs 340-355</t>
        </is>
      </c>
      <c r="D2" t="inlineStr">
        <is>
          <t>Ambiguous responsiveness call on internal marketing emails referencing product specs</t>
        </is>
      </c>
      <c r="E2" t="inlineStr">
        <is>
          <t>Reviewer Team A</t>
        </is>
      </c>
      <c r="F2" t="inlineStr">
        <is>
          <t>Open - Reviewer Note Added</t>
        </is>
      </c>
      <c r="G2" t="inlineStr">
        <is>
          <t>Flagged for Noor's review before overnight batch closes out. REVIEWER NOTE (M. Chandrasekhar): Evidentiary support for a responsiveness call here is thin without the spot-check - do not treat as resolved until Noor confirms; escalate to case team if marketing emails reference product specs tied to asserted claims. FURTHER REVIEW NOTE (M. Chandrasekhar): Status remains open on the current record - no spot-check confirmation from Noor has been logged yet. Do not sign off on this responsiveness call until that confirmation is added. CLOSING REVIEW NOTE (M. Chandrasekhar): Confirmed at today's deal status meeting that Noor's spot-check confirmation is still outstanding; this remains open pending that input and should not be signed off in the interim.</t>
        </is>
      </c>
    </row>
    <row r="3">
      <c r="A3" t="inlineStr">
        <is>
          <t>TQ-2</t>
        </is>
      </c>
      <c r="B3" t="inlineStr">
        <is>
          <t>BATCH-003</t>
        </is>
      </c>
      <c r="C3" t="inlineStr">
        <is>
          <t>Docs 88-102</t>
        </is>
      </c>
      <c r="D3" t="inlineStr">
        <is>
          <t>Recurring attachment family coded inconsistently across custodians</t>
        </is>
      </c>
      <c r="E3" t="inlineStr">
        <is>
          <t>Reviewer Team A</t>
        </is>
      </c>
      <c r="F3" t="inlineStr">
        <is>
          <t>Open - Reviewer Note Added</t>
        </is>
      </c>
      <c r="G3" t="inlineStr">
        <is>
          <t>Requesting reviewer align on family-level coding rule. REVIEWER NOTE (M. Chandrasekhar): Inconsistent family-level coding across custodians is enough on its own to call the current tagging unreliable for this range - do not sign off until Reviewer Team A confirms a single coding rule was applied across all custodians; re-code any documents coded under the earlier inconsistent approach. This note is well-supported on the record as described and stands without revision.</t>
        </is>
      </c>
    </row>
    <row r="4">
      <c r="A4" t="inlineStr">
        <is>
          <t>TQ-3</t>
        </is>
      </c>
      <c r="B4" t="inlineStr">
        <is>
          <t>BATCH-004</t>
        </is>
      </c>
      <c r="C4" t="inlineStr">
        <is>
          <t>Docs 512-520</t>
        </is>
      </c>
      <c r="D4" t="inlineStr">
        <is>
          <t>Unclear whether draft term sheet falls within date range of request</t>
        </is>
      </c>
      <c r="E4" t="inlineStr">
        <is>
          <t>Litigation Group</t>
        </is>
      </c>
      <c r="F4" t="inlineStr">
        <is>
          <t>Open - Reviewer Note Added</t>
        </is>
      </c>
      <c r="G4" t="inlineStr">
        <is>
          <t>Awaiting confirmation from case team on scope. REVIEWER NOTE (M. Chandrasekhar): Evidentiary support for treating this draft term sheet as within the date range of the request is thin absent the case team's confirmation on scope - do not sign off on inclusion or exclusion until that confirmation is received; if case team confirms the document falls outside the requested date range, code as non-responsive on that basis pending further review. This note is well-supported on the record as described and stands without revision.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 Range</t>
        </is>
      </c>
      <c r="B1" t="inlineStr">
        <is>
          <t>Batch ID</t>
        </is>
      </c>
      <c r="C1" t="inlineStr">
        <is>
          <t>Privilege Basis Asserted</t>
        </is>
      </c>
      <c r="D1" t="inlineStr">
        <is>
          <t>Reviewer</t>
        </is>
      </c>
      <c r="E1" t="inlineStr">
        <is>
          <t>Spot-Check Status</t>
        </is>
      </c>
      <c r="F1" t="inlineStr">
        <is>
          <t>Notes</t>
        </is>
      </c>
    </row>
    <row r="2">
      <c r="A2" t="inlineStr">
        <is>
          <t>Docs 210-225</t>
        </is>
      </c>
      <c r="B2" t="inlineStr">
        <is>
          <t>BATCH-002</t>
        </is>
      </c>
      <c r="C2" t="inlineStr">
        <is>
          <t>Attorney-Client - in-house counsel copied</t>
        </is>
      </c>
      <c r="D2" t="inlineStr">
        <is>
          <t>Reviewer Team B</t>
        </is>
      </c>
      <c r="E2" t="inlineStr">
        <is>
          <t>Requested - not yet reviewed</t>
        </is>
      </c>
      <c r="F2" t="inlineStr">
        <is>
          <t>This may be nothing, but several emails only cc counsel without substantive legal content - worth a second look. REVIEWER NOTE (M. Chandrasekhar): Evidentiary support for the attorney-client basis on this range is thin on the current record - copying counsel without substantive legal content does not, by itself, establish privilege. Do not sign off until the spot-check is completed; if no substantive legal advice is found in the cc'd emails, treat as not privileged on that basis pending further review.</t>
        </is>
      </c>
    </row>
    <row r="3">
      <c r="A3" t="inlineStr">
        <is>
          <t>Docs 601-615</t>
        </is>
      </c>
      <c r="B3" t="inlineStr">
        <is>
          <t>BATCH-004</t>
        </is>
      </c>
      <c r="C3" t="inlineStr">
        <is>
          <t>Work Product - prepared in anticipation of litigation</t>
        </is>
      </c>
      <c r="D3" t="inlineStr">
        <is>
          <t>Litigation Group</t>
        </is>
      </c>
      <c r="E3" t="inlineStr">
        <is>
          <t>Open - Reviewer Note Added</t>
        </is>
      </c>
      <c r="F3" t="inlineStr">
        <is>
          <t>Date range predates filing; asked overnight team to confirm anticipation-of-litigation timing. REVIEWER NOTE (M. Chandrasekhar): Work-product protection here depends on the anticipation-of-litigation timing being established, and that confirmation from the overnight team is still outstanding - the current basis asserted is thin on this record. Do not sign off the privilege call until timing is confirmed; if the documents predate any reasonable anticipation of litigation, treat as not protected on work-product grounds pending further review. This note is well-supported on the record as described and stands without revision.</t>
        </is>
      </c>
    </row>
    <row r="4">
      <c r="A4" t="inlineStr">
        <is>
          <t>Docs 300-310</t>
        </is>
      </c>
      <c r="B4" t="inlineStr">
        <is>
          <t>BATCH-001</t>
        </is>
      </c>
      <c r="C4" t="inlineStr">
        <is>
          <t>Attorney-Client</t>
        </is>
      </c>
      <c r="D4" t="inlineStr">
        <is>
          <t>Reviewer Team A</t>
        </is>
      </c>
      <c r="E4" t="inlineStr">
        <is>
          <t>Requested - not yet reviewed</t>
        </is>
      </c>
      <c r="F4" t="inlineStr">
        <is>
          <t>Chain includes non-attorney third party as recipient - flagging for privilege waiver check. See related reviewer note in Document Status Log (Docs 300-310, BATCH-001) for waiver analysis; that note governs sign-off on this entry.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  <c r="E1" t="inlineStr">
        <is>
          <t>Updated By</t>
        </is>
      </c>
      <c r="F1" t="inlineStr">
        <is>
          <t>Date</t>
        </is>
      </c>
    </row>
    <row r="2">
      <c r="A2" t="inlineStr">
        <is>
          <t>doc-000011</t>
        </is>
      </c>
      <c r="B2" t="inlineStr">
        <is>
          <t>Deposition Summary Draft - reviewer markup pass</t>
        </is>
      </c>
      <c r="C2" t="inlineStr">
        <is>
          <t>Reviewed - Signed Off</t>
        </is>
      </c>
      <c r="D2" t="inlineStr">
        <is>
          <t>Reviewer markup added flagging thin evidentiary support in several sections; overstated conclusions tightened; provisions with adequate support signed off. Original drafting retained; no underlying substance rewritten. REVIEWER NOTE (M. Chandrasekhar): Reviewed Noor's markup pass against the underlying record - the tightening of overstated conclusions and the sign-off on adequately supported provisions are both well-supported as described. No further thin-evidence issues identified on this pass; sign-off stands.</t>
        </is>
      </c>
      <c r="E2" t="inlineStr">
        <is>
          <t>Noor Haddad</t>
        </is>
      </c>
      <c r="F2" t="inlineStr">
        <is>
          <t>2024-06-10</t>
        </is>
      </c>
    </row>
    <row r="3">
      <c r="A3" t="inlineStr">
        <is>
          <t>doc-000003</t>
        </is>
      </c>
      <c r="B3" t="inlineStr">
        <is>
          <t>Research Memo: Enforceability of Choice-of-Law Provision Under Delaware's Most-Significant-Relationship Test</t>
        </is>
      </c>
      <c r="C3" t="inlineStr">
        <is>
          <t>Provisional - Pending Research (Reviewer Note Added)</t>
        </is>
      </c>
      <c r="D3" t="inlineStr">
        <is>
          <t>Closing status note added under Open Items; Ohio caselaw search and related analysis remain incomplete; conclusions framed as provisional pending that follow-up. REVIEWER NOTE (M. Chandrasekhar): Evidentiary support for the current conclusion is thin absent the Ohio caselaw comparison - the memo's provisional framing is appropriate and should stand as-is; do not read the current conclusion as settled. Sections addressing Delaware's most-significant-relationship factors that are supported by the caselaw already cited are sound and signed off; do not revise those pending the Ohio follow-up. Original drafting retained.</t>
        </is>
      </c>
      <c r="E3" t="inlineStr">
        <is>
          <t>Noor Haddad</t>
        </is>
      </c>
      <c r="F3" t="inlineStr">
        <is>
          <t>2024-06-10</t>
        </is>
      </c>
    </row>
    <row r="4">
      <c r="A4" t="inlineStr">
        <is>
          <t>Privilege Log Nos. 5, 8</t>
        </is>
      </c>
      <c r="B4" t="inlineStr">
        <is>
          <t>Privilege log entries flagged for spot-check</t>
        </is>
      </c>
      <c r="C4" t="inlineStr">
        <is>
          <t>Resolved</t>
        </is>
      </c>
      <c r="D4" t="inlineStr">
        <is>
          <t>Confirmed resolved following follow-up with Hyun-woo on the open question previously raised; no further action needed on these entries.</t>
        </is>
      </c>
      <c r="E4" t="inlineStr">
        <is>
          <t>Noor Haddad</t>
        </is>
      </c>
      <c r="F4" t="inlineStr">
        <is>
          <t>2024-06-10</t>
        </is>
      </c>
    </row>
    <row r="5">
      <c r="A5" t="inlineStr">
        <is>
          <t>Docs 300-310 (BATCH-001)</t>
        </is>
      </c>
      <c r="B5" t="inlineStr">
        <is>
          <t>Privilege spot-check - attorney-client basis, non-attorney third-party recipient on chain</t>
        </is>
      </c>
      <c r="C5" t="inlineStr">
        <is>
          <t>Open - Reviewer Note Added</t>
        </is>
      </c>
      <c r="D5" t="inlineStr">
        <is>
          <t>REVIEWER NOTE (M. Chandrasekhar): The waiver question here turns on the third party's role and whether disclosure was inadvertent or under a common-interest arrangement - neither is established on the current record. Do not sign off the privilege call until Reviewer Team A confirms the third party's status; if no common-interest or agency basis is confirmed, treat as waived as to that chain pending further review. This note remains well-supported on the current record and stands without revision pending Reviewer Team A's confirmation.</t>
        </is>
      </c>
      <c r="E5" t="inlineStr">
        <is>
          <t>Mira Chandrasekhar</t>
        </is>
      </c>
      <c r="F5" t="inlineStr">
        <is>
          <t>2024-06-10</t>
        </is>
      </c>
    </row>
    <row r="6">
      <c r="A6" t="inlineStr">
        <is>
          <t>Sable Ridge Triage - EOD Update</t>
        </is>
      </c>
      <c r="B6" t="inlineStr">
        <is>
          <t>End-of-day triage resolutions on Sable Ridge witness/exhibit tracker and deposition summary workstream</t>
        </is>
      </c>
      <c r="C6" t="inlineStr">
        <is>
          <t>Partially Resolved - One Open Loop</t>
        </is>
      </c>
      <c r="D6" t="inlineStr">
        <is>
          <t>Closed today: (1) Ex. 17 custodian note on witness/exhibit list - resolved; (2) Ulrich/Sandhurst holdout - resolved as not applicable, confirmed Gideon's matter per Bennett; (3) doc-000089 source/owner triage item - closed per Klara's clarification. Remaining open loop for tomorrow: driver meal-break deposition transcript still pending from Petra; deposition summary framework cannot progress to witness-testimony sections until transcript is received. REVIEWER NOTE (M. Chandrasekhar): The three closed items above are adequately supported on the record as described (custodian note, holdout confirmation, and source/owner clarification each trace to a named confirming source) and are signed off as resolved. Note the Sandhurst reference here is unrelated to the separate corporate-side Sandhurst checklist item on today's deal status meeting agenda; no cross-reference or additional confirmation is needed for that distinct workstream. The remaining open loop on the meal-break transcript is correctly carried forward as open - do not treat the deposition summary framework as complete for witness-testimony sections until the transcript is received and incorporated.</t>
        </is>
      </c>
      <c r="E6" t="inlineStr">
        <is>
          <t>Noor Haddad</t>
        </is>
      </c>
      <c r="F6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