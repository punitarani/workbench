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t-to-Date" sheetId="1" state="visible" r:id="rId1"/>
    <sheet xmlns:r="http://schemas.openxmlformats.org/officeDocument/2006/relationships" name="Through-Closing Projection" sheetId="2" state="visible" r:id="rId2"/>
    <sheet xmlns:r="http://schemas.openxmlformats.org/officeDocument/2006/relationships" name="Closing Conditions at 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Timekeeper/Category</t>
        </is>
      </c>
      <c r="B1" t="inlineStr">
        <is>
          <t>Role</t>
        </is>
      </c>
      <c r="C1" t="inlineStr">
        <is>
          <t>Hours to Date</t>
        </is>
      </c>
      <c r="D1" t="inlineStr">
        <is>
          <t>Rate</t>
        </is>
      </c>
      <c r="E1" t="inlineStr">
        <is>
          <t>Fees to Date</t>
        </is>
      </c>
    </row>
    <row r="2">
      <c r="A2" t="inlineStr">
        <is>
          <t>Dov Reinhardt</t>
        </is>
      </c>
      <c r="B2" t="inlineStr">
        <is>
          <t>Partner</t>
        </is>
      </c>
      <c r="C2" t="n">
        <v>62.5</v>
      </c>
      <c r="D2" t="n">
        <v>950</v>
      </c>
      <c r="E2">
        <f>C2*D2</f>
        <v/>
      </c>
    </row>
    <row r="3">
      <c r="A3" t="inlineStr">
        <is>
          <t>Samir</t>
        </is>
      </c>
      <c r="B3" t="inlineStr">
        <is>
          <t>Senior Associate</t>
        </is>
      </c>
      <c r="C3" t="n">
        <v>118</v>
      </c>
      <c r="D3" t="n">
        <v>650</v>
      </c>
      <c r="E3">
        <f>C3*D3</f>
        <v/>
      </c>
    </row>
    <row r="4">
      <c r="A4" t="inlineStr">
        <is>
          <t>Ingrid</t>
        </is>
      </c>
      <c r="B4" t="inlineStr">
        <is>
          <t>Senior Associate</t>
        </is>
      </c>
      <c r="C4" t="n">
        <v>96.5</v>
      </c>
      <c r="D4" t="n">
        <v>650</v>
      </c>
      <c r="E4">
        <f>C4*D4</f>
        <v/>
      </c>
    </row>
    <row r="5">
      <c r="A5" t="inlineStr">
        <is>
          <t>Odell</t>
        </is>
      </c>
      <c r="B5" t="inlineStr">
        <is>
          <t>Associate</t>
        </is>
      </c>
      <c r="C5" t="n">
        <v>74</v>
      </c>
      <c r="D5" t="n">
        <v>495</v>
      </c>
      <c r="E5">
        <f>C5*D5</f>
        <v/>
      </c>
    </row>
    <row r="6">
      <c r="A6" t="inlineStr">
        <is>
          <t>Whitfield</t>
        </is>
      </c>
      <c r="B6" t="inlineStr">
        <is>
          <t>Associate</t>
        </is>
      </c>
      <c r="C6" t="n">
        <v>69.5</v>
      </c>
      <c r="D6" t="n">
        <v>495</v>
      </c>
      <c r="E6">
        <f>C6*D6</f>
        <v/>
      </c>
    </row>
    <row r="7">
      <c r="A7" t="inlineStr">
        <is>
          <t>Paralegal / Closing Support</t>
        </is>
      </c>
      <c r="B7" t="inlineStr">
        <is>
          <t>Paralegal</t>
        </is>
      </c>
      <c r="C7" t="n">
        <v>41</v>
      </c>
      <c r="D7" t="n">
        <v>285</v>
      </c>
      <c r="E7">
        <f>C7*D7</f>
        <v/>
      </c>
    </row>
    <row r="8">
      <c r="A8" t="inlineStr">
        <is>
          <t>Total Fees to Date</t>
        </is>
      </c>
      <c r="B8" t="inlineStr"/>
      <c r="C8">
        <f>SUM(C2:C7)</f>
        <v/>
      </c>
      <c r="D8" t="inlineStr"/>
      <c r="E8">
        <f>SUM(E2:E7)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Milestone</t>
        </is>
      </c>
      <c r="C1" t="inlineStr">
        <is>
          <t>Target Date</t>
        </is>
      </c>
      <c r="D1" t="inlineStr">
        <is>
          <t>Additional Hours (Est.)</t>
        </is>
      </c>
      <c r="E1" t="inlineStr">
        <is>
          <t>Blended Rate</t>
        </is>
      </c>
      <c r="F1" t="inlineStr">
        <is>
          <t>Additional Fees</t>
        </is>
      </c>
      <c r="G1" t="inlineStr">
        <is>
          <t>Total Spent-to-Date + Projection</t>
        </is>
      </c>
    </row>
    <row r="2">
      <c r="A2" t="inlineStr">
        <is>
          <t>A - Counterclaim Resolved Pre-Closing</t>
        </is>
      </c>
      <c r="B2" t="inlineStr">
        <is>
          <t>Good standing cert. received</t>
        </is>
      </c>
      <c r="C2" t="inlineStr">
        <is>
          <t>2025-04-11</t>
        </is>
      </c>
      <c r="D2" t="n">
        <v>4</v>
      </c>
      <c r="E2" t="n">
        <v>650</v>
      </c>
      <c r="F2">
        <f>D2*E2</f>
        <v/>
      </c>
      <c r="G2">
        <f>'Spent-to-Date'!E8+F2</f>
        <v/>
      </c>
    </row>
    <row r="3">
      <c r="A3" t="inlineStr">
        <is>
          <t>A - Counterclaim Resolved Pre-Closing</t>
        </is>
      </c>
      <c r="B3" t="inlineStr">
        <is>
          <t>Both estoppels received</t>
        </is>
      </c>
      <c r="C3" t="inlineStr">
        <is>
          <t>2025-04-14</t>
        </is>
      </c>
      <c r="D3" t="n">
        <v>18</v>
      </c>
      <c r="E3" t="n">
        <v>650</v>
      </c>
      <c r="F3">
        <f>D3*E3</f>
        <v/>
      </c>
      <c r="G3">
        <f>F3+G2</f>
        <v/>
      </c>
    </row>
    <row r="4">
      <c r="A4" t="inlineStr">
        <is>
          <t>A - Counterclaim Resolved Pre-Closing</t>
        </is>
      </c>
      <c r="B4" t="inlineStr">
        <is>
          <t>Ancillary docs/checklist split cleared (Odell/Whitfield)</t>
        </is>
      </c>
      <c r="C4" t="inlineStr">
        <is>
          <t>2025-04-15</t>
        </is>
      </c>
      <c r="D4" t="n">
        <v>10</v>
      </c>
      <c r="E4" t="n">
        <v>550</v>
      </c>
      <c r="F4">
        <f>D4*E4</f>
        <v/>
      </c>
      <c r="G4">
        <f>F4+G3</f>
        <v/>
      </c>
    </row>
    <row r="5">
      <c r="A5" t="inlineStr">
        <is>
          <t>A - Counterclaim Resolved Pre-Closing</t>
        </is>
      </c>
      <c r="B5" t="inlineStr">
        <is>
          <t>Closing</t>
        </is>
      </c>
      <c r="C5" t="inlineStr">
        <is>
          <t>2025-04-18</t>
        </is>
      </c>
      <c r="D5" t="n">
        <v>26</v>
      </c>
      <c r="E5" t="n">
        <v>700</v>
      </c>
      <c r="F5">
        <f>D5*E5</f>
        <v/>
      </c>
      <c r="G5">
        <f>F5+G4</f>
        <v/>
      </c>
    </row>
    <row r="6">
      <c r="A6" t="inlineStr">
        <is>
          <t>A - Total Through Closing</t>
        </is>
      </c>
      <c r="B6" t="inlineStr"/>
      <c r="C6" t="inlineStr">
        <is>
          <t>2025-04-18</t>
        </is>
      </c>
      <c r="D6">
        <f>SUM(D2:D5)</f>
        <v/>
      </c>
      <c r="E6" t="inlineStr"/>
      <c r="F6">
        <f>SUM(F2:F5)</f>
        <v/>
      </c>
      <c r="G6">
        <f>'Spent-to-Date'!E8+F6</f>
        <v/>
      </c>
    </row>
    <row r="7">
      <c r="A7" t="inlineStr">
        <is>
          <t>B - Counterclaim Unresolved, Escrow Holdback at Closing</t>
        </is>
      </c>
      <c r="B7" t="inlineStr">
        <is>
          <t>Good standing cert. received</t>
        </is>
      </c>
      <c r="C7" t="inlineStr">
        <is>
          <t>2025-04-11</t>
        </is>
      </c>
      <c r="D7" t="n">
        <v>4</v>
      </c>
      <c r="E7" t="n">
        <v>650</v>
      </c>
      <c r="F7">
        <f>D8*E8</f>
        <v/>
      </c>
      <c r="G7">
        <f>'Spent-to-Date'!E8+F8</f>
        <v/>
      </c>
    </row>
    <row r="8">
      <c r="A8" t="inlineStr">
        <is>
          <t>B - Counterclaim Unresolved, Escrow Holdback at Closing</t>
        </is>
      </c>
      <c r="B8" t="inlineStr">
        <is>
          <t>Both estoppels received</t>
        </is>
      </c>
      <c r="C8" t="inlineStr">
        <is>
          <t>2025-04-14</t>
        </is>
      </c>
      <c r="D8" t="n">
        <v>18</v>
      </c>
      <c r="E8" t="n">
        <v>650</v>
      </c>
      <c r="F8">
        <f>D9*E9</f>
        <v/>
      </c>
      <c r="G8">
        <f>F9+G8</f>
        <v/>
      </c>
    </row>
    <row r="9">
      <c r="A9" t="inlineStr">
        <is>
          <t>B - Counterclaim Unresolved, Escrow Holdback at Closing</t>
        </is>
      </c>
      <c r="B9" t="inlineStr">
        <is>
          <t>Ancillary docs/checklist split cleared (Odell/Whitfield)</t>
        </is>
      </c>
      <c r="C9" t="inlineStr">
        <is>
          <t>2025-04-15</t>
        </is>
      </c>
      <c r="D9" t="n">
        <v>10</v>
      </c>
      <c r="E9" t="n">
        <v>550</v>
      </c>
      <c r="F9">
        <f>D10*E10</f>
        <v/>
      </c>
      <c r="G9">
        <f>F10+G9</f>
        <v/>
      </c>
    </row>
    <row r="10">
      <c r="A10" t="inlineStr">
        <is>
          <t>B - Counterclaim Unresolved, Escrow Holdback at Closing</t>
        </is>
      </c>
      <c r="B10" t="inlineStr">
        <is>
          <t>Escrow holdback mechanics drafted/negotiated</t>
        </is>
      </c>
      <c r="C10" t="inlineStr">
        <is>
          <t>2025-04-16</t>
        </is>
      </c>
      <c r="D10" t="n">
        <v>22</v>
      </c>
      <c r="E10" t="n">
        <v>750</v>
      </c>
      <c r="F10">
        <f>D11*E11</f>
        <v/>
      </c>
      <c r="G10">
        <f>F11+G10</f>
        <v/>
      </c>
    </row>
    <row r="11">
      <c r="A11" t="inlineStr">
        <is>
          <t>B - Counterclaim Unresolved, Escrow Holdback at Closing</t>
        </is>
      </c>
      <c r="B11" t="inlineStr">
        <is>
          <t>Closing</t>
        </is>
      </c>
      <c r="C11" t="inlineStr">
        <is>
          <t>2025-04-18</t>
        </is>
      </c>
      <c r="D11" t="n">
        <v>30</v>
      </c>
      <c r="E11" t="n">
        <v>700</v>
      </c>
      <c r="F11">
        <f>D12*E12</f>
        <v/>
      </c>
      <c r="G11">
        <f>F12+G11</f>
        <v/>
      </c>
    </row>
    <row r="12">
      <c r="A12" t="inlineStr">
        <is>
          <t>B - Total Through Closing</t>
        </is>
      </c>
      <c r="B12" t="inlineStr"/>
      <c r="C12" t="inlineStr">
        <is>
          <t>2025-04-18</t>
        </is>
      </c>
      <c r="D12">
        <f>SUM(D8:D12)</f>
        <v/>
      </c>
      <c r="E12" t="inlineStr"/>
      <c r="F12">
        <f>SUM(F8:F12)</f>
        <v/>
      </c>
      <c r="G12">
        <f>'Spent-to-Date'!E8+F13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Precedent</t>
        </is>
      </c>
      <c r="B1" t="inlineStr">
        <is>
          <t>Status</t>
        </is>
      </c>
      <c r="C1" t="inlineStr">
        <is>
          <t>Owner</t>
        </is>
      </c>
      <c r="D1" t="inlineStr">
        <is>
          <t>Risk to Timeline</t>
        </is>
      </c>
    </row>
    <row r="2">
      <c r="A2" t="inlineStr">
        <is>
          <t>Good standing certificates</t>
        </is>
      </c>
      <c r="B2" t="inlineStr">
        <is>
          <t>1 entity outstanding</t>
        </is>
      </c>
      <c r="C2" t="inlineStr">
        <is>
          <t>Samir/Ingrid</t>
        </is>
      </c>
      <c r="D2" t="inlineStr">
        <is>
          <t>Low — expected 2025-04-11</t>
        </is>
      </c>
    </row>
    <row r="3">
      <c r="A3" t="inlineStr">
        <is>
          <t>Lease estoppels</t>
        </is>
      </c>
      <c r="B3" t="inlineStr">
        <is>
          <t>2 outstanding (of total set)</t>
        </is>
      </c>
      <c r="C3" t="inlineStr">
        <is>
          <t>Samir/Ingrid, tracking Gideon's rates table</t>
        </is>
      </c>
      <c r="D3" t="inlineStr">
        <is>
          <t>Medium — expected 2025-04-14</t>
        </is>
      </c>
    </row>
    <row r="4">
      <c r="A4" t="inlineStr">
        <is>
          <t>Ancillary docs vs. checklist ownership split</t>
        </is>
      </c>
      <c r="B4" t="inlineStr">
        <is>
          <t>Resolved — Odell/Whitfield confirmed split, checklist updated</t>
        </is>
      </c>
      <c r="C4" t="inlineStr">
        <is>
          <t>Odell/Whitfield</t>
        </is>
      </c>
      <c r="D4" t="inlineStr">
        <is>
          <t>Low — no longer a blocker; monitor for follow-through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