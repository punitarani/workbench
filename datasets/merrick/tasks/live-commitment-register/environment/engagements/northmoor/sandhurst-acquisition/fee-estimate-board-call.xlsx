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stimate Summary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Responsible Team</t>
        </is>
      </c>
      <c r="C1" t="inlineStr">
        <is>
          <t>Est. Hours</t>
        </is>
      </c>
      <c r="D1" t="inlineStr">
        <is>
          <t>Blended Rate ($)</t>
        </is>
      </c>
      <c r="E1" t="inlineStr">
        <is>
          <t>Estimated Fees ($)</t>
        </is>
      </c>
      <c r="F1" t="inlineStr">
        <is>
          <t>Notes</t>
        </is>
      </c>
    </row>
    <row r="2">
      <c r="A2" t="inlineStr">
        <is>
          <t>Corporate / Deal Team</t>
        </is>
      </c>
      <c r="B2" t="inlineStr">
        <is>
          <t>Reinhardt, D. + 2 associates</t>
        </is>
      </c>
      <c r="C2" t="n">
        <v>160</v>
      </c>
      <c r="D2" t="n">
        <v>650</v>
      </c>
      <c r="E2">
        <f>C2*D2</f>
        <v/>
      </c>
      <c r="F2" t="inlineStr">
        <is>
          <t>Term sheet through signing; hours revised down - term sheet and initial diligence complete</t>
        </is>
      </c>
    </row>
    <row r="3">
      <c r="A3" t="inlineStr">
        <is>
          <t>Diligence - Add-on (Sandhurst)</t>
        </is>
      </c>
      <c r="B3" t="inlineStr">
        <is>
          <t>Corporate associates</t>
        </is>
      </c>
      <c r="C3" t="n">
        <v>120</v>
      </c>
      <c r="D3" t="n">
        <v>450</v>
      </c>
      <c r="E3">
        <f>C3*D3</f>
        <v/>
      </c>
      <c r="F3" t="inlineStr">
        <is>
          <t>Coordinated with tkt-011 workstream; on track</t>
        </is>
      </c>
    </row>
    <row r="4">
      <c r="A4" t="inlineStr">
        <is>
          <t>Regulatory / Antitrust</t>
        </is>
      </c>
      <c r="B4" t="inlineStr">
        <is>
          <t>Regulatory partner + associate</t>
        </is>
      </c>
      <c r="C4" t="n">
        <v>60</v>
      </c>
      <c r="D4" t="n">
        <v>700</v>
      </c>
      <c r="E4">
        <f>C4*D4</f>
        <v/>
      </c>
      <c r="F4" t="inlineStr">
        <is>
          <t>HSR filing prep and clearance</t>
        </is>
      </c>
    </row>
    <row r="5">
      <c r="A5" t="inlineStr">
        <is>
          <t>Tax Structuring</t>
        </is>
      </c>
      <c r="B5" t="inlineStr">
        <is>
          <t>Tax partner</t>
        </is>
      </c>
      <c r="C5" t="n">
        <v>40</v>
      </c>
      <c r="D5" t="n">
        <v>750</v>
      </c>
      <c r="E5">
        <f>C5*D5</f>
        <v/>
      </c>
      <c r="F5" t="inlineStr">
        <is>
          <t>Entity structure and step plan</t>
        </is>
      </c>
    </row>
    <row r="6">
      <c r="A6" t="inlineStr">
        <is>
          <t>Financing / Credit Docs</t>
        </is>
      </c>
      <c r="B6" t="inlineStr">
        <is>
          <t>Banking associate</t>
        </is>
      </c>
      <c r="C6" t="n">
        <v>50</v>
      </c>
      <c r="D6" t="n">
        <v>600</v>
      </c>
      <c r="E6">
        <f>C6*D6</f>
        <v/>
      </c>
      <c r="F6" t="inlineStr">
        <is>
          <t>Coordinate with lender counsel</t>
        </is>
      </c>
    </row>
    <row r="7">
      <c r="A7" t="inlineStr">
        <is>
          <t>Employee Benefits / ERISA</t>
        </is>
      </c>
      <c r="B7" t="inlineStr">
        <is>
          <t>Benefits counsel</t>
        </is>
      </c>
      <c r="C7" t="n">
        <v>20</v>
      </c>
      <c r="D7" t="n">
        <v>650</v>
      </c>
      <c r="E7">
        <f>C7*D7</f>
        <v/>
      </c>
      <c r="F7" t="inlineStr">
        <is>
          <t>Plan transfer review</t>
        </is>
      </c>
    </row>
    <row r="8">
      <c r="A8" t="inlineStr">
        <is>
          <t>Closing Logistics</t>
        </is>
      </c>
      <c r="B8" t="inlineStr">
        <is>
          <t>Paralegal + associate</t>
        </is>
      </c>
      <c r="C8" t="n">
        <v>35</v>
      </c>
      <c r="D8" t="n">
        <v>300</v>
      </c>
      <c r="E8">
        <f>C8*D8</f>
        <v/>
      </c>
      <c r="F8" t="inlineStr">
        <is>
          <t>Signature pages, closing set; hours increased pending resolution of estoppel status quo issue flagged by I. Solheim before closing timeline can be finalized</t>
        </is>
      </c>
    </row>
    <row r="9">
      <c r="A9" t="inlineStr">
        <is>
          <t>Contingency (10%)</t>
        </is>
      </c>
      <c r="B9" t="inlineStr">
        <is>
          <t>-</t>
        </is>
      </c>
      <c r="E9">
        <f>SUM(E2:E8)*0.1</f>
        <v/>
      </c>
      <c r="F9" t="inlineStr">
        <is>
          <t>Standard buffer for scope creep</t>
        </is>
      </c>
    </row>
    <row r="10">
      <c r="A10" t="inlineStr">
        <is>
          <t>Total Estimated Fees</t>
        </is>
      </c>
      <c r="B10" t="inlineStr">
        <is>
          <t>-</t>
        </is>
      </c>
      <c r="E10">
        <f>SUM(E2:E9)</f>
        <v/>
      </c>
      <c r="F10" t="inlineStr">
        <is>
          <t>Excludes disbursements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Estimate assumes signing within 45 days of term sheet.</t>
        </is>
      </c>
    </row>
    <row r="3">
      <c r="A3" t="inlineStr">
        <is>
          <t>Assumes no second request from regulators.</t>
        </is>
      </c>
    </row>
    <row r="4">
      <c r="A4" t="inlineStr">
        <is>
          <t>Add-on diligence (tkt-011) scoped separately but coordinated to avoid duplication.</t>
        </is>
      </c>
    </row>
    <row r="5">
      <c r="A5" t="inlineStr">
        <is>
          <t>Rates are current standard blended rates, subject to firm rate card update Jan 1.</t>
        </is>
      </c>
    </row>
    <row r="6">
      <c r="A6" t="inlineStr">
        <is>
          <t>Estoppel status quo issue (raised by I. Solheim) to be resolved before closing timeline is locked; added to docket call per U. Bergmann.</t>
        </is>
      </c>
    </row>
    <row r="7">
      <c r="A7" t="inlineStr">
        <is>
          <t>Estimate to be refreshed after definitive agreement is signed.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