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P Summary" sheetId="1" state="visible" r:id="rId1"/>
    <sheet xmlns:r="http://schemas.openxmlformats.org/officeDocument/2006/relationships" name="Unreleased Prebill Exceptions" sheetId="2" state="visible" r:id="rId2"/>
    <sheet xmlns:r="http://schemas.openxmlformats.org/officeDocument/2006/relationships" name="Realization Tr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Matter</t>
        </is>
      </c>
      <c r="C1" t="inlineStr">
        <is>
          <t>WIP Beg. Bal.</t>
        </is>
      </c>
      <c r="D1" t="inlineStr">
        <is>
          <t>Fees Entered</t>
        </is>
      </c>
      <c r="E1" t="inlineStr">
        <is>
          <t>Prebill Amt.</t>
        </is>
      </c>
      <c r="F1" t="inlineStr">
        <is>
          <t>Released</t>
        </is>
      </c>
      <c r="G1" t="inlineStr">
        <is>
          <t>Unreleased Prebill</t>
        </is>
      </c>
      <c r="H1" t="inlineStr">
        <is>
          <t>WIP End Bal.</t>
        </is>
      </c>
      <c r="I1" t="inlineStr">
        <is>
          <t>Realization %</t>
        </is>
      </c>
    </row>
    <row r="2">
      <c r="A2" t="inlineStr">
        <is>
          <t>Coastal Meridian</t>
        </is>
      </c>
      <c r="B2" t="inlineStr">
        <is>
          <t>Regulatory inquiry</t>
        </is>
      </c>
      <c r="C2" t="n">
        <v>48210</v>
      </c>
      <c r="D2" t="n">
        <v>12400</v>
      </c>
      <c r="E2" t="n">
        <v>60610</v>
      </c>
      <c r="F2" t="n">
        <v>0</v>
      </c>
      <c r="G2" t="n">
        <v>60610</v>
      </c>
      <c r="H2" t="n">
        <v>60610</v>
      </c>
      <c r="I2">
        <f>F2/(D2+C2)</f>
        <v/>
      </c>
    </row>
    <row r="3">
      <c r="A3" t="inlineStr">
        <is>
          <t>Coastal Meridian</t>
        </is>
      </c>
      <c r="B3" t="inlineStr">
        <is>
          <t>Credit agreement covenant review</t>
        </is>
      </c>
      <c r="C3" t="n">
        <v>9875.5</v>
      </c>
      <c r="D3" t="n">
        <v>3200</v>
      </c>
      <c r="E3" t="n">
        <v>13075.5</v>
      </c>
      <c r="F3" t="n">
        <v>13075.5</v>
      </c>
      <c r="G3" t="n">
        <v>0</v>
      </c>
      <c r="H3" t="n">
        <v>0</v>
      </c>
      <c r="I3">
        <f>F3/(D3+C3)</f>
        <v/>
      </c>
    </row>
    <row r="4">
      <c r="A4" t="inlineStr">
        <is>
          <t>Halden Orthopedics</t>
        </is>
      </c>
      <c r="B4" t="inlineStr">
        <is>
          <t>Renwick non-compete</t>
        </is>
      </c>
      <c r="C4" t="n">
        <v>22140</v>
      </c>
      <c r="D4" t="n">
        <v>5600</v>
      </c>
      <c r="E4" t="n">
        <v>27740</v>
      </c>
      <c r="F4" t="n">
        <v>27740</v>
      </c>
      <c r="G4" t="n">
        <v>0</v>
      </c>
      <c r="H4" t="n">
        <v>0</v>
      </c>
      <c r="I4">
        <f>F4/(D4+C4)</f>
        <v/>
      </c>
    </row>
    <row r="5">
      <c r="A5" t="inlineStr">
        <is>
          <t>Halden Orthopedics</t>
        </is>
      </c>
      <c r="B5" t="inlineStr">
        <is>
          <t>Tessaro malpractice defence</t>
        </is>
      </c>
      <c r="C5" t="n">
        <v>61330.25</v>
      </c>
      <c r="D5" t="n">
        <v>18950</v>
      </c>
      <c r="E5" t="n">
        <v>80280.25</v>
      </c>
      <c r="F5" t="n">
        <v>40140</v>
      </c>
      <c r="G5" t="n">
        <v>40140.25</v>
      </c>
      <c r="H5" t="n">
        <v>40140.25</v>
      </c>
      <c r="I5">
        <f>F5/(D5+C5)</f>
        <v/>
      </c>
    </row>
    <row r="6">
      <c r="A6" t="inlineStr">
        <is>
          <t>Verity Grain</t>
        </is>
      </c>
      <c r="B6" t="inlineStr">
        <is>
          <t>Ardmore elevator acquisition</t>
        </is>
      </c>
      <c r="C6" t="n">
        <v>33420</v>
      </c>
      <c r="D6" t="n">
        <v>9800</v>
      </c>
      <c r="E6" t="n">
        <v>43220</v>
      </c>
      <c r="F6" t="n">
        <v>43220</v>
      </c>
      <c r="G6" t="n">
        <v>0</v>
      </c>
      <c r="H6" t="n">
        <v>0</v>
      </c>
      <c r="I6">
        <f>F6/(D6+C6)</f>
        <v/>
      </c>
    </row>
    <row r="7">
      <c r="A7" t="inlineStr">
        <is>
          <t>Verity Grain</t>
        </is>
      </c>
      <c r="B7" t="inlineStr">
        <is>
          <t>Hollstead supply dispute</t>
        </is>
      </c>
      <c r="C7" t="n">
        <v>15660</v>
      </c>
      <c r="D7" t="n">
        <v>4100</v>
      </c>
      <c r="E7" t="n">
        <v>19760</v>
      </c>
      <c r="F7" t="n">
        <v>0</v>
      </c>
      <c r="G7" t="n">
        <v>19760</v>
      </c>
      <c r="H7" t="n">
        <v>19760</v>
      </c>
      <c r="I7">
        <f>F7/(D7+C7)</f>
        <v/>
      </c>
    </row>
    <row r="8">
      <c r="A8" t="inlineStr">
        <is>
          <t>Pellumbra</t>
        </is>
      </c>
      <c r="B8" t="inlineStr">
        <is>
          <t>Ravenna collaboration agreement</t>
        </is>
      </c>
      <c r="C8" t="n">
        <v>27890</v>
      </c>
      <c r="D8" t="n">
        <v>7300</v>
      </c>
      <c r="E8" t="n">
        <v>35190</v>
      </c>
      <c r="F8" t="n">
        <v>35190</v>
      </c>
      <c r="G8" t="n">
        <v>0</v>
      </c>
      <c r="H8" t="n">
        <v>0</v>
      </c>
      <c r="I8">
        <f>F8/(D8+C8)</f>
        <v/>
      </c>
    </row>
    <row r="9">
      <c r="A9" t="inlineStr">
        <is>
          <t>Pellumbra</t>
        </is>
      </c>
      <c r="B9" t="inlineStr">
        <is>
          <t>Series C disclosure schedule</t>
        </is>
      </c>
      <c r="C9" t="n">
        <v>41200</v>
      </c>
      <c r="D9" t="n">
        <v>11050</v>
      </c>
      <c r="E9" t="n">
        <v>52250</v>
      </c>
      <c r="F9" t="n">
        <v>0</v>
      </c>
      <c r="G9" t="n">
        <v>52250</v>
      </c>
      <c r="H9" t="n">
        <v>52250</v>
      </c>
      <c r="I9">
        <f>F9/(D9+C9)</f>
        <v/>
      </c>
    </row>
    <row r="10">
      <c r="A10" t="inlineStr">
        <is>
          <t>Pellumbra</t>
        </is>
      </c>
      <c r="B10" t="inlineStr">
        <is>
          <t>Cross-border clinical data assessment</t>
        </is>
      </c>
      <c r="C10" t="n">
        <v>8420</v>
      </c>
      <c r="D10" t="n">
        <v>2600</v>
      </c>
      <c r="E10" t="n">
        <v>11020</v>
      </c>
      <c r="F10" t="n">
        <v>11020</v>
      </c>
      <c r="G10" t="n">
        <v>0</v>
      </c>
      <c r="H10" t="n">
        <v>0</v>
      </c>
      <c r="I10">
        <f>F10/(D10+C10)</f>
        <v/>
      </c>
    </row>
    <row r="11">
      <c r="A11" t="inlineStr">
        <is>
          <t>Northmoor</t>
        </is>
      </c>
      <c r="B11" t="inlineStr">
        <is>
          <t>Sandhurst platform acquisition</t>
        </is>
      </c>
      <c r="C11" t="n">
        <v>55600</v>
      </c>
      <c r="D11" t="n">
        <v>21400</v>
      </c>
      <c r="E11" t="n">
        <v>77000</v>
      </c>
      <c r="F11" t="n">
        <v>77000</v>
      </c>
      <c r="G11" t="n">
        <v>0</v>
      </c>
      <c r="H11" t="n">
        <v>0</v>
      </c>
      <c r="I11">
        <f>F11/(D11+C11)</f>
        <v/>
      </c>
    </row>
    <row r="12">
      <c r="A12" t="inlineStr">
        <is>
          <t>Northmoor</t>
        </is>
      </c>
      <c r="B12" t="inlineStr">
        <is>
          <t>Sandhurst add-on diligence</t>
        </is>
      </c>
      <c r="C12" t="n">
        <v>12330</v>
      </c>
      <c r="D12" t="n">
        <v>3900</v>
      </c>
      <c r="E12" t="n">
        <v>16230</v>
      </c>
      <c r="F12" t="n">
        <v>0</v>
      </c>
      <c r="G12" t="n">
        <v>16230</v>
      </c>
      <c r="H12" t="n">
        <v>16230</v>
      </c>
      <c r="I12">
        <f>F12/(D12+C12)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Matter</t>
        </is>
      </c>
      <c r="C1" t="inlineStr">
        <is>
          <t>Prebill Amt.</t>
        </is>
      </c>
      <c r="D1" t="inlineStr">
        <is>
          <t>Days Held</t>
        </is>
      </c>
      <c r="E1" t="inlineStr">
        <is>
          <t>Reason Coded</t>
        </is>
      </c>
      <c r="F1" t="inlineStr">
        <is>
          <t>Action Required</t>
        </is>
      </c>
    </row>
    <row r="2">
      <c r="A2" t="inlineStr">
        <is>
          <t>Coastal Meridian</t>
        </is>
      </c>
      <c r="B2" t="inlineStr">
        <is>
          <t>Regulatory inquiry</t>
        </is>
      </c>
      <c r="C2" t="n">
        <v>60610</v>
      </c>
      <c r="D2" t="n">
        <v>11</v>
      </c>
      <c r="E2" t="inlineStr">
        <is>
          <t>Partner review pending</t>
        </is>
      </c>
      <c r="F2" t="inlineStr">
        <is>
          <t>Escalate — 10-day policy exceeded</t>
        </is>
      </c>
    </row>
    <row r="3">
      <c r="A3" t="inlineStr">
        <is>
          <t>Pellumbra</t>
        </is>
      </c>
      <c r="B3" t="inlineStr">
        <is>
          <t>Series C disclosure schedule</t>
        </is>
      </c>
      <c r="C3" t="n">
        <v>52250</v>
      </c>
      <c r="D3" t="n">
        <v>6</v>
      </c>
      <c r="E3" t="inlineStr">
        <is>
          <t>Awaiting narrative edits</t>
        </is>
      </c>
      <c r="F3" t="inlineStr">
        <is>
          <t>Follow up by EOD</t>
        </is>
      </c>
    </row>
    <row r="4">
      <c r="A4" t="inlineStr">
        <is>
          <t>Northmoor</t>
        </is>
      </c>
      <c r="B4" t="inlineStr">
        <is>
          <t>Sandhurst add-on diligence</t>
        </is>
      </c>
      <c r="C4" t="n">
        <v>16230</v>
      </c>
      <c r="D4" t="n">
        <v>4</v>
      </c>
      <c r="E4" t="inlineStr">
        <is>
          <t>New matter, first bill</t>
        </is>
      </c>
      <c r="F4" t="inlineStr">
        <is>
          <t>Confirm rate schedule then release</t>
        </is>
      </c>
    </row>
    <row r="5">
      <c r="A5" t="inlineStr">
        <is>
          <t>Verity Grain</t>
        </is>
      </c>
      <c r="B5" t="inlineStr">
        <is>
          <t>Hollstead supply dispute</t>
        </is>
      </c>
      <c r="C5" t="n">
        <v>19760</v>
      </c>
      <c r="D5" t="n">
        <v>9</v>
      </c>
      <c r="E5" t="inlineStr">
        <is>
          <t>Time entries in whole hours, flagged for review</t>
        </is>
      </c>
      <c r="F5" t="inlineStr">
        <is>
          <t>Return to timekeeper for detail</t>
        </is>
      </c>
    </row>
    <row r="6">
      <c r="A6" t="inlineStr">
        <is>
          <t>Halden Orthopedics</t>
        </is>
      </c>
      <c r="B6" t="inlineStr">
        <is>
          <t>Tessaro malpractice defence</t>
        </is>
      </c>
      <c r="C6" t="n">
        <v>40140.25</v>
      </c>
      <c r="D6" t="n">
        <v>3</v>
      </c>
      <c r="E6" t="inlineStr">
        <is>
          <t>Partial release approved</t>
        </is>
      </c>
      <c r="F6" t="inlineStr">
        <is>
          <t>Release balance $40,140.25 on approval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Fees Billed</t>
        </is>
      </c>
      <c r="C1" t="inlineStr">
        <is>
          <t>Fees Collected</t>
        </is>
      </c>
      <c r="D1" t="inlineStr">
        <is>
          <t>Write-offs</t>
        </is>
      </c>
      <c r="E1" t="inlineStr">
        <is>
          <t>Realization %</t>
        </is>
      </c>
    </row>
    <row r="2">
      <c r="A2" t="inlineStr">
        <is>
          <t>2025-01</t>
        </is>
      </c>
      <c r="B2" t="n">
        <v>210500</v>
      </c>
      <c r="C2" t="n">
        <v>198900</v>
      </c>
      <c r="D2" t="n">
        <v>4200</v>
      </c>
      <c r="E2">
        <f>C2/B2</f>
        <v/>
      </c>
    </row>
    <row r="3">
      <c r="A3" t="inlineStr">
        <is>
          <t>2025-02</t>
        </is>
      </c>
      <c r="B3" t="n">
        <v>195200</v>
      </c>
      <c r="C3" t="n">
        <v>187100</v>
      </c>
      <c r="D3" t="n">
        <v>3100</v>
      </c>
      <c r="E3">
        <f>C3/B3</f>
        <v/>
      </c>
    </row>
    <row r="4">
      <c r="A4" t="inlineStr">
        <is>
          <t>2025-03</t>
        </is>
      </c>
      <c r="B4" t="n">
        <v>224800</v>
      </c>
      <c r="C4" t="n">
        <v>210600</v>
      </c>
      <c r="D4" t="n">
        <v>6300</v>
      </c>
      <c r="E4">
        <f>C4/B4</f>
        <v/>
      </c>
    </row>
    <row r="5">
      <c r="A5" t="inlineStr">
        <is>
          <t>2025-04</t>
        </is>
      </c>
      <c r="B5" t="n">
        <v>208100</v>
      </c>
      <c r="C5" t="n">
        <v>199950</v>
      </c>
      <c r="D5" t="n">
        <v>2800</v>
      </c>
      <c r="E5">
        <f>C5/B5</f>
        <v/>
      </c>
    </row>
    <row r="6">
      <c r="A6" t="inlineStr">
        <is>
          <t>2025-05</t>
        </is>
      </c>
      <c r="B6" t="n">
        <v>231400</v>
      </c>
      <c r="C6" t="n">
        <v>221000</v>
      </c>
      <c r="D6" t="n">
        <v>5100</v>
      </c>
      <c r="E6">
        <f>C6/B6</f>
        <v/>
      </c>
    </row>
    <row r="7">
      <c r="A7" t="inlineStr">
        <is>
          <t>2025-06 (MTD)</t>
        </is>
      </c>
      <c r="B7" t="n">
        <v>149075.75</v>
      </c>
      <c r="C7" t="n">
        <v>121600</v>
      </c>
      <c r="D7" t="n">
        <v>0</v>
      </c>
      <c r="E7">
        <f>C7/B7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2026-08-22T22:45:13Z</dcterms:created>
  <dcterms:modified xmlns:dcterms="http://purl.org/dc/terms/" xmlns:xsi="http://www.w3.org/2001/XMLSchema-instance" xsi:type="dcterms:W3CDTF">2026-08-22T22:45:13Z</dcterms:modified>
</cp:coreProperties>
</file>