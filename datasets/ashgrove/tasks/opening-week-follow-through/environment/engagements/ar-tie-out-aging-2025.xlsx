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Tie-Out to GL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Current (0–30 days)</t>
        </is>
      </c>
      <c r="F1" t="inlineStr">
        <is>
          <t>31–60 days</t>
        </is>
      </c>
      <c r="G1" t="inlineStr">
        <is>
          <t>61–90 days</t>
        </is>
      </c>
      <c r="H1" t="inlineStr">
        <is>
          <t>Over 90 days</t>
        </is>
      </c>
      <c r="I1" t="inlineStr">
        <is>
          <t>Status</t>
        </is>
      </c>
      <c r="J1" t="inlineStr">
        <is>
          <t>Review Notes</t>
        </is>
      </c>
    </row>
    <row r="2">
      <c r="A2" t="inlineStr">
        <is>
          <t>Kestrel Manufacturing — Plan Year 2025 Audit</t>
        </is>
      </c>
      <c r="B2" t="inlineStr">
        <is>
          <t>KM-2025-0847</t>
        </is>
      </c>
      <c r="C2" t="inlineStr">
        <is>
          <t>2025-01-15</t>
        </is>
      </c>
      <c r="D2" t="n">
        <v>45000</v>
      </c>
      <c r="E2" t="n">
        <v>45000</v>
      </c>
      <c r="F2" t="inlineStr"/>
      <c r="G2" t="inlineStr"/>
      <c r="H2" t="inlineStr"/>
      <c r="I2" t="inlineStr">
        <is>
          <t>Open</t>
        </is>
      </c>
      <c r="J2" t="inlineStr">
        <is>
          <t>✓ Verified; ties to current bucket. —LM</t>
        </is>
      </c>
    </row>
    <row r="3">
      <c r="A3" t="inlineStr">
        <is>
          <t>Kestrel Manufacturing — Compliance Testing</t>
        </is>
      </c>
      <c r="B3" t="inlineStr">
        <is>
          <t>KM-2025-0856</t>
        </is>
      </c>
      <c r="C3" t="inlineStr">
        <is>
          <t>2025-02-10</t>
        </is>
      </c>
      <c r="D3" t="n">
        <v>12500</v>
      </c>
      <c r="E3" t="n">
        <v>12500</v>
      </c>
      <c r="F3" t="inlineStr"/>
      <c r="G3" t="inlineStr"/>
      <c r="H3" t="inlineStr"/>
      <c r="I3" t="inlineStr">
        <is>
          <t>Open</t>
        </is>
      </c>
      <c r="J3" t="inlineStr">
        <is>
          <t>✓ Verified; ties to current bucket. —LM</t>
        </is>
      </c>
    </row>
    <row r="4">
      <c r="A4" t="inlineStr">
        <is>
          <t>Kestrel Manufacturing — Remediation Work</t>
        </is>
      </c>
      <c r="B4" t="inlineStr">
        <is>
          <t>KM-2025-0891</t>
        </is>
      </c>
      <c r="C4" t="inlineStr">
        <is>
          <t>2025-01-28</t>
        </is>
      </c>
      <c r="D4" t="n">
        <v>8750</v>
      </c>
      <c r="E4" t="inlineStr"/>
      <c r="F4" t="n">
        <v>8750</v>
      </c>
      <c r="G4" t="inlineStr"/>
      <c r="H4" t="inlineStr"/>
      <c r="I4" t="inlineStr">
        <is>
          <t>Open</t>
        </is>
      </c>
      <c r="J4" t="inlineStr">
        <is>
          <t>⚠ HOLD: GL support required. (1) Invoice aging detail must tie to KM subledger; (2) remediation scope docs must support 31–60 bucket placement. Do not sign until evidence secured. —LM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Sum of AR Aging Detail</t>
        </is>
      </c>
      <c r="B2">
        <f>SUM('AR Aging Detail'!D:D)</f>
        <v/>
      </c>
    </row>
    <row r="3">
      <c r="A3" t="inlineStr">
        <is>
          <t>General Ledger A/R Balance — Plan Year 2025</t>
        </is>
      </c>
      <c r="B3" t="n">
        <v>66250</v>
      </c>
    </row>
    <row r="4">
      <c r="A4" t="inlineStr">
        <is>
          <t>Variance</t>
        </is>
      </c>
      <c r="B4">
        <f>'Tie-Out to GL'!B2-'Tie-Out to GL'!B3</f>
        <v/>
      </c>
    </row>
    <row r="5">
      <c r="A5" t="inlineStr">
        <is>
          <t>Review Notes:</t>
        </is>
      </c>
      <c r="B5" t="inlineStr">
        <is>
          <t>✓ Tie-out formula sound; reconciles at zero variance. Formulas locked and audited. —LM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</t>
        </is>
      </c>
      <c r="B1" t="inlineStr">
        <is>
          <t>Amount</t>
        </is>
      </c>
      <c r="C1" t="inlineStr">
        <is>
          <t>Percentage of Total</t>
        </is>
      </c>
      <c r="D1" t="inlineStr">
        <is>
          <t>Review Notes</t>
        </is>
      </c>
    </row>
    <row r="2">
      <c r="A2" t="inlineStr">
        <is>
          <t>Current (0–30 days)</t>
        </is>
      </c>
      <c r="B2">
        <f>SUM('AR Aging Detail'!E:E)</f>
        <v/>
      </c>
      <c r="C2">
        <f>B2/'Tie-Out to GL'!B3</f>
        <v/>
      </c>
      <c r="D2" t="inlineStr">
        <is>
          <t>✓ Formula valid; ties to source. —LM</t>
        </is>
      </c>
    </row>
    <row r="3">
      <c r="A3" t="inlineStr">
        <is>
          <t>31–60 days</t>
        </is>
      </c>
      <c r="B3">
        <f>SUM('AR Aging Detail'!F:F)</f>
        <v/>
      </c>
      <c r="C3">
        <f>B3/'Tie-Out to GL'!B3</f>
        <v/>
      </c>
      <c r="D3" t="inlineStr">
        <is>
          <t>✓ Formula valid; ties to source. Note: KM-2025-0891 pending evidence. —LM</t>
        </is>
      </c>
    </row>
    <row r="4">
      <c r="A4" t="inlineStr">
        <is>
          <t>61–90 days</t>
        </is>
      </c>
      <c r="B4">
        <f>SUM('AR Aging Detail'!G:G)</f>
        <v/>
      </c>
      <c r="C4">
        <f>B4/'Tie-Out to GL'!B3</f>
        <v/>
      </c>
      <c r="D4" t="inlineStr">
        <is>
          <t>✓ Formula valid; ties to source. —LM</t>
        </is>
      </c>
    </row>
    <row r="5">
      <c r="A5" t="inlineStr">
        <is>
          <t>Over 90 days</t>
        </is>
      </c>
      <c r="B5">
        <f>SUM('AR Aging Detail'!H:H)</f>
        <v/>
      </c>
      <c r="C5">
        <f>B5/'Tie-Out to GL'!B3</f>
        <v/>
      </c>
      <c r="D5" t="inlineStr">
        <is>
          <t>✓ Formula valid; ties to source. —LM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2026-08-18T04:55:37Z</dcterms:created>
  <dcterms:modified xmlns:dcterms="http://purl.org/dc/terms/" xmlns:xsi="http://www.w3.org/2001/XMLSchema-instance" xsi:type="dcterms:W3CDTF">2026-08-18T04:55:37Z</dcterms:modified>
</cp:coreProperties>
</file>