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C Summary" sheetId="1" state="visible" r:id="rId1"/>
    <sheet xmlns:r="http://schemas.openxmlformats.org/officeDocument/2006/relationships" name="Cost Detail &amp; Support" sheetId="2" state="visible" r:id="rId2"/>
    <sheet xmlns:r="http://schemas.openxmlformats.org/officeDocument/2006/relationships" name="Testing &amp; Cross-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Total Contract Value</t>
        </is>
      </c>
      <c r="C1" t="inlineStr">
        <is>
          <t>Cumulative Costs to Date</t>
        </is>
      </c>
      <c r="D1" t="inlineStr">
        <is>
          <t>Estimated Total Costs</t>
        </is>
      </c>
      <c r="E1" t="inlineStr">
        <is>
          <t>POC %</t>
        </is>
      </c>
      <c r="F1" t="inlineStr">
        <is>
          <t>Revenue Recognized YTD</t>
        </is>
      </c>
      <c r="G1" t="inlineStr">
        <is>
          <t>Prior Year Revenue</t>
        </is>
      </c>
      <c r="H1" t="inlineStr">
        <is>
          <t>Current Year Revenue</t>
        </is>
      </c>
    </row>
    <row r="2">
      <c r="A2" t="inlineStr">
        <is>
          <t>Riverbend Phase 1</t>
        </is>
      </c>
      <c r="B2" t="n">
        <v>2850000</v>
      </c>
      <c r="C2" t="n">
        <v>1620000</v>
      </c>
      <c r="D2" t="n">
        <v>2850000</v>
      </c>
      <c r="E2">
        <f>C2/D2</f>
        <v/>
      </c>
      <c r="F2">
        <f>E2*B2</f>
        <v/>
      </c>
      <c r="G2" t="n">
        <v>0</v>
      </c>
      <c r="H2">
        <f>F2-G2</f>
        <v/>
      </c>
    </row>
    <row r="3">
      <c r="A3" t="inlineStr">
        <is>
          <t>Riverbend Phase 2</t>
        </is>
      </c>
      <c r="B3" t="n">
        <v>1950000</v>
      </c>
      <c r="C3" t="n">
        <v>780000</v>
      </c>
      <c r="D3" t="n">
        <v>1950000</v>
      </c>
      <c r="E3">
        <f>C3/D3</f>
        <v/>
      </c>
      <c r="F3">
        <f>E3*B3</f>
        <v/>
      </c>
      <c r="G3" t="n">
        <v>0</v>
      </c>
      <c r="H3">
        <f>F3-G3</f>
        <v/>
      </c>
    </row>
    <row r="4">
      <c r="A4" t="inlineStr">
        <is>
          <t>Totals</t>
        </is>
      </c>
      <c r="B4">
        <f>SUM(B2:B3)</f>
        <v/>
      </c>
      <c r="C4">
        <f>SUM(C2:C3)</f>
        <v/>
      </c>
      <c r="D4">
        <f>SUM(D2:D3)</f>
        <v/>
      </c>
      <c r="E4">
        <f>C4/D4</f>
        <v/>
      </c>
      <c r="F4">
        <f>E4*B4</f>
        <v/>
      </c>
      <c r="G4">
        <f>SUM(G2:G3)</f>
        <v/>
      </c>
      <c r="H4">
        <f>F4-G4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Cost Category</t>
        </is>
      </c>
      <c r="C1" t="inlineStr">
        <is>
          <t>Labor</t>
        </is>
      </c>
      <c r="D1" t="inlineStr">
        <is>
          <t>Materials</t>
        </is>
      </c>
      <c r="E1" t="inlineStr">
        <is>
          <t>Subcontractor</t>
        </is>
      </c>
      <c r="F1" t="inlineStr">
        <is>
          <t>Equipment</t>
        </is>
      </c>
      <c r="G1" t="inlineStr">
        <is>
          <t>Indirect</t>
        </is>
      </c>
      <c r="H1" t="inlineStr">
        <is>
          <t>Total Costs</t>
        </is>
      </c>
      <c r="I1" t="inlineStr">
        <is>
          <t>Tie to GL</t>
        </is>
      </c>
    </row>
    <row r="2">
      <c r="A2" t="inlineStr">
        <is>
          <t>Phase 1</t>
        </is>
      </c>
      <c r="B2" t="inlineStr">
        <is>
          <t>Labor</t>
        </is>
      </c>
      <c r="C2" t="n">
        <v>620000</v>
      </c>
      <c r="H2">
        <f>B2</f>
        <v/>
      </c>
      <c r="I2" t="inlineStr">
        <is>
          <t>GL-4110</t>
        </is>
      </c>
    </row>
    <row r="3">
      <c r="A3" t="inlineStr">
        <is>
          <t>Phase 1</t>
        </is>
      </c>
      <c r="B3" t="inlineStr">
        <is>
          <t>Materials</t>
        </is>
      </c>
      <c r="D3" t="n">
        <v>580000</v>
      </c>
      <c r="H3">
        <f>C3</f>
        <v/>
      </c>
      <c r="I3" t="inlineStr">
        <is>
          <t>GL-5200</t>
        </is>
      </c>
    </row>
    <row r="4">
      <c r="A4" t="inlineStr">
        <is>
          <t>Phase 1</t>
        </is>
      </c>
      <c r="B4" t="inlineStr">
        <is>
          <t>Subcontractor</t>
        </is>
      </c>
      <c r="E4" t="n">
        <v>320000</v>
      </c>
      <c r="H4">
        <f>D4</f>
        <v/>
      </c>
      <c r="I4" t="inlineStr">
        <is>
          <t>GL-5300</t>
        </is>
      </c>
    </row>
    <row r="5">
      <c r="A5" t="inlineStr">
        <is>
          <t>Phase 1</t>
        </is>
      </c>
      <c r="B5" t="inlineStr">
        <is>
          <t>Equipment</t>
        </is>
      </c>
      <c r="F5" t="n">
        <v>85000</v>
      </c>
      <c r="H5">
        <f>E5</f>
        <v/>
      </c>
      <c r="I5" t="inlineStr">
        <is>
          <t>GL-5400</t>
        </is>
      </c>
    </row>
    <row r="6">
      <c r="A6" t="inlineStr">
        <is>
          <t>Phase 1</t>
        </is>
      </c>
      <c r="B6" t="inlineStr">
        <is>
          <t>Indirect Allocation</t>
        </is>
      </c>
      <c r="G6" t="n">
        <v>35000</v>
      </c>
      <c r="H6">
        <f>F6</f>
        <v/>
      </c>
      <c r="I6" t="inlineStr">
        <is>
          <t>GL-6100</t>
        </is>
      </c>
    </row>
    <row r="7">
      <c r="A7" t="inlineStr">
        <is>
          <t>Phase 1 Subtotal</t>
        </is>
      </c>
      <c r="H7">
        <f>SUM(G2:G6)</f>
        <v/>
      </c>
    </row>
    <row r="8">
      <c r="A8" t="inlineStr">
        <is>
          <t>Phase 2</t>
        </is>
      </c>
      <c r="B8" t="inlineStr">
        <is>
          <t>Labor</t>
        </is>
      </c>
      <c r="C8" t="n">
        <v>310000</v>
      </c>
      <c r="H8">
        <f>B8</f>
        <v/>
      </c>
      <c r="I8" t="inlineStr">
        <is>
          <t>GL-4110</t>
        </is>
      </c>
    </row>
    <row r="9">
      <c r="A9" t="inlineStr">
        <is>
          <t>Phase 2</t>
        </is>
      </c>
      <c r="B9" t="inlineStr">
        <is>
          <t>Materials</t>
        </is>
      </c>
      <c r="D9" t="n">
        <v>290000</v>
      </c>
      <c r="H9">
        <f>C9</f>
        <v/>
      </c>
      <c r="I9" t="inlineStr">
        <is>
          <t>GL-5200</t>
        </is>
      </c>
    </row>
    <row r="10">
      <c r="A10" t="inlineStr">
        <is>
          <t>Phase 2</t>
        </is>
      </c>
      <c r="B10" t="inlineStr">
        <is>
          <t>Subcontractor</t>
        </is>
      </c>
      <c r="E10" t="n">
        <v>165000</v>
      </c>
      <c r="H10">
        <f>D10</f>
        <v/>
      </c>
      <c r="I10" t="inlineStr">
        <is>
          <t>GL-5300</t>
        </is>
      </c>
    </row>
    <row r="11">
      <c r="A11" t="inlineStr">
        <is>
          <t>Phase 2</t>
        </is>
      </c>
      <c r="B11" t="inlineStr">
        <is>
          <t>Equipment</t>
        </is>
      </c>
      <c r="F11" t="n">
        <v>15000</v>
      </c>
      <c r="H11">
        <f>E11</f>
        <v/>
      </c>
      <c r="I11" t="inlineStr">
        <is>
          <t>GL-5400</t>
        </is>
      </c>
    </row>
    <row r="12">
      <c r="A12" t="inlineStr">
        <is>
          <t>Phase 2 Subtotal</t>
        </is>
      </c>
      <c r="H12">
        <f>SUM(G8:G11)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Reference</t>
        </is>
      </c>
      <c r="B1" t="inlineStr">
        <is>
          <t>Description</t>
        </is>
      </c>
      <c r="C1" t="inlineStr">
        <is>
          <t>Sample Size</t>
        </is>
      </c>
      <c r="D1" t="inlineStr">
        <is>
          <t>Items Selected</t>
        </is>
      </c>
      <c r="E1" t="inlineStr">
        <is>
          <t>Result</t>
        </is>
      </c>
      <c r="F1" t="inlineStr">
        <is>
          <t>Exception</t>
        </is>
      </c>
      <c r="G1" t="inlineStr">
        <is>
          <t>Workpaper Ref</t>
        </is>
      </c>
    </row>
    <row r="2">
      <c r="A2" t="inlineStr">
        <is>
          <t>POC-T01</t>
        </is>
      </c>
      <c r="B2" t="inlineStr">
        <is>
          <t>Verify contract terms and total contract value against signed agreement</t>
        </is>
      </c>
      <c r="C2" t="n">
        <v>2</v>
      </c>
      <c r="D2" t="n">
        <v>2</v>
      </c>
      <c r="E2" t="inlineStr">
        <is>
          <t>Pass</t>
        </is>
      </c>
      <c r="G2" t="inlineStr">
        <is>
          <t>Executed Contracts</t>
        </is>
      </c>
    </row>
    <row r="3">
      <c r="A3" t="inlineStr">
        <is>
          <t>POC-T02</t>
        </is>
      </c>
      <c r="B3" t="inlineStr">
        <is>
          <t>Test cumulative costs to GL reconciliation; foot labor, materials, subs</t>
        </is>
      </c>
      <c r="C3" t="n">
        <v>2</v>
      </c>
      <c r="D3" t="n">
        <v>2</v>
      </c>
      <c r="E3" t="inlineStr">
        <is>
          <t>Pass</t>
        </is>
      </c>
      <c r="G3" t="inlineStr">
        <is>
          <t>Cost Detail sheet</t>
        </is>
      </c>
    </row>
    <row r="4">
      <c r="A4" t="inlineStr">
        <is>
          <t>POC-T03</t>
        </is>
      </c>
      <c r="B4" t="inlineStr">
        <is>
          <t>Recalculate POC percentages; verify calculation accuracy</t>
        </is>
      </c>
      <c r="C4" t="n">
        <v>2</v>
      </c>
      <c r="D4" t="n">
        <v>2</v>
      </c>
      <c r="E4" t="inlineStr">
        <is>
          <t>Pass</t>
        </is>
      </c>
      <c r="G4" t="inlineStr">
        <is>
          <t>POC Summary sheet</t>
        </is>
      </c>
    </row>
    <row r="5">
      <c r="A5" t="inlineStr">
        <is>
          <t>POC-T04</t>
        </is>
      </c>
      <c r="B5" t="inlineStr">
        <is>
          <t>Test revenue recognition calculation (POC × total contract value)</t>
        </is>
      </c>
      <c r="C5" t="n">
        <v>2</v>
      </c>
      <c r="D5" t="n">
        <v>2</v>
      </c>
      <c r="E5" t="inlineStr">
        <is>
          <t>Pass</t>
        </is>
      </c>
      <c r="G5" t="inlineStr">
        <is>
          <t>POC Summary sheet</t>
        </is>
      </c>
    </row>
    <row r="6">
      <c r="A6" t="inlineStr">
        <is>
          <t>POC-T05</t>
        </is>
      </c>
      <c r="B6" t="inlineStr">
        <is>
          <t>Trace revenue to revenue journal entry and general ledger</t>
        </is>
      </c>
      <c r="C6" t="n">
        <v>2</v>
      </c>
      <c r="D6" t="n">
        <v>2</v>
      </c>
      <c r="E6" t="inlineStr">
        <is>
          <t>Pass</t>
        </is>
      </c>
      <c r="G6" t="inlineStr">
        <is>
          <t>GL Reconciliation</t>
        </is>
      </c>
    </row>
    <row r="7">
      <c r="A7" t="inlineStr">
        <is>
          <t>POC-T06</t>
        </is>
      </c>
      <c r="B7" t="inlineStr">
        <is>
          <t>Review subsequent costs post-balance sheet for completeness of accrual</t>
        </is>
      </c>
      <c r="C7" t="n">
        <v>1</v>
      </c>
      <c r="D7" t="n">
        <v>1</v>
      </c>
      <c r="E7" t="inlineStr">
        <is>
          <t>Pass</t>
        </is>
      </c>
      <c r="G7" t="inlineStr">
        <is>
          <t>Subsequent costs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2026-08-18T02:05:08Z</dcterms:created>
  <dcterms:modified xmlns:dcterms="http://purl.org/dc/terms/" xmlns:xsi="http://www.w3.org/2001/XMLSchema-instance" xsi:type="dcterms:W3CDTF">2026-08-18T02:05:08Z</dcterms:modified>
</cp:coreProperties>
</file>